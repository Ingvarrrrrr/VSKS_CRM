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user\Desktop\Cursor\DOC_REGISTRATION\"/>
    </mc:Choice>
  </mc:AlternateContent>
  <xr:revisionPtr revIDLastSave="0" documentId="13_ncr:1_{7136DFCC-8155-4B66-B9B9-FB7181DC5B6D}" xr6:coauthVersionLast="47" xr6:coauthVersionMax="47" xr10:uidLastSave="{00000000-0000-0000-0000-000000000000}"/>
  <bookViews>
    <workbookView xWindow="-57710" yWindow="-110" windowWidth="38620" windowHeight="21100" tabRatio="919" firstSheet="11" activeTab="20" xr2:uid="{00000000-000D-0000-FFFF-FFFF00000000}"/>
  </bookViews>
  <sheets>
    <sheet name="GoodsService" sheetId="1" r:id="rId1"/>
    <sheet name="Состав_договора" sheetId="2" r:id="rId2"/>
    <sheet name="Контрагенты" sheetId="3" r:id="rId3"/>
    <sheet name="Субсидии" sheetId="4" r:id="rId4"/>
    <sheet name="Категории_из_ФЭО" sheetId="5" r:id="rId5"/>
    <sheet name="Категории_из_приложения" sheetId="6" r:id="rId6"/>
    <sheet name="Платежи" sheetId="7" r:id="rId7"/>
    <sheet name="Документы" sheetId="8" r:id="rId8"/>
    <sheet name="Дашборд" sheetId="9" r:id="rId9"/>
    <sheet name="Реестр_договоров" sheetId="10" r:id="rId10"/>
    <sheet name="ФЭО_База" sheetId="11" r:id="rId11"/>
    <sheet name="ФЭО_Приложения" sheetId="12" r:id="rId12"/>
    <sheet name="ФЭО_Версии" sheetId="13" r:id="rId13"/>
    <sheet name="ФЭО_База_v1" sheetId="14" r:id="rId14"/>
    <sheet name="ФЭО_Приложения_v1" sheetId="15" r:id="rId15"/>
    <sheet name="ФЭО_База_v2" sheetId="16" r:id="rId16"/>
    <sheet name="ФЭО_Приложения_v2" sheetId="17" r:id="rId17"/>
    <sheet name="Связи_Субсидия_ФЭО" sheetId="18" r:id="rId18"/>
    <sheet name="Связи_ФЭО_Статьи" sheetId="19" r:id="rId19"/>
    <sheet name="Статьи_Разбивка" sheetId="20" r:id="rId20"/>
    <sheet name="Разбивка_Товары" sheetId="21" r:id="rId21"/>
    <sheet name="Справочник_Направления_ФЭО" sheetId="22" r:id="rId22"/>
    <sheet name="Справочник_Статьи_Затрат" sheetId="23" r:id="rId23"/>
    <sheet name="Справочник_Уникальные_Товары" sheetId="24" r:id="rId24"/>
    <sheet name="Связи_Направление_Статья" sheetId="25" r:id="rId2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4" i="1" l="1"/>
  <c r="U4" i="1"/>
  <c r="V4" i="1" s="1"/>
  <c r="U3" i="1"/>
  <c r="AA3" i="1" s="1"/>
  <c r="U2" i="1"/>
  <c r="V2" i="1" s="1"/>
  <c r="AA2" i="1" l="1"/>
  <c r="V3" i="1"/>
</calcChain>
</file>

<file path=xl/sharedStrings.xml><?xml version="1.0" encoding="utf-8"?>
<sst xmlns="http://schemas.openxmlformats.org/spreadsheetml/2006/main" count="2672" uniqueCount="1085">
  <si>
    <t>ID</t>
  </si>
  <si>
    <t>Номер договора</t>
  </si>
  <si>
    <t>Дата договора</t>
  </si>
  <si>
    <t>Тип договора</t>
  </si>
  <si>
    <t>Вид договора</t>
  </si>
  <si>
    <t>Субсидия_ID</t>
  </si>
  <si>
    <t>Номер закупки</t>
  </si>
  <si>
    <t>Номер заказа</t>
  </si>
  <si>
    <t>Предмет договора</t>
  </si>
  <si>
    <t>Детальное описание</t>
  </si>
  <si>
    <t>Контрагент_ID</t>
  </si>
  <si>
    <t>Статус договора</t>
  </si>
  <si>
    <t>Статус закупки</t>
  </si>
  <si>
    <t>Стадия исполнения</t>
  </si>
  <si>
    <t>Дата начала</t>
  </si>
  <si>
    <t>Дата окончания</t>
  </si>
  <si>
    <t>Срок исполнения</t>
  </si>
  <si>
    <t>НМЦК</t>
  </si>
  <si>
    <t>Цена без НДС</t>
  </si>
  <si>
    <t>Сумма НДС</t>
  </si>
  <si>
    <t>Цена с НДС</t>
  </si>
  <si>
    <t>Экономия</t>
  </si>
  <si>
    <t>Процент экономии</t>
  </si>
  <si>
    <t>Законтрактовано</t>
  </si>
  <si>
    <t>Поставлено</t>
  </si>
  <si>
    <t>Оплачено</t>
  </si>
  <si>
    <t>Остаток к оплате</t>
  </si>
  <si>
    <t>Остаток к поставке</t>
  </si>
  <si>
    <t>Применение НДС</t>
  </si>
  <si>
    <t>Ставка НДС</t>
  </si>
  <si>
    <t>Способ оплаты</t>
  </si>
  <si>
    <t>Форма оплаты</t>
  </si>
  <si>
    <t>Размер аванса</t>
  </si>
  <si>
    <t>Срок оплаты</t>
  </si>
  <si>
    <t>Направление расходов ФЭО</t>
  </si>
  <si>
    <t>Тип расходов ФЭО</t>
  </si>
  <si>
    <t>Направление из приложения</t>
  </si>
  <si>
    <t>Тип конкретизированный</t>
  </si>
  <si>
    <t>Ответственный</t>
  </si>
  <si>
    <t>Город</t>
  </si>
  <si>
    <t>Комментарии</t>
  </si>
  <si>
    <t>Дата создания</t>
  </si>
  <si>
    <t>Дата изменения</t>
  </si>
  <si>
    <t>Автор</t>
  </si>
  <si>
    <t>Редактор</t>
  </si>
  <si>
    <t>12</t>
  </si>
  <si>
    <t>Поставка</t>
  </si>
  <si>
    <t>Разовый</t>
  </si>
  <si>
    <t>1</t>
  </si>
  <si>
    <t>в</t>
  </si>
  <si>
    <t xml:space="preserve">Приобретение оборудования
</t>
  </si>
  <si>
    <t>Ремонт трансопртных средств</t>
  </si>
  <si>
    <t>Плановый</t>
  </si>
  <si>
    <t>Нет</t>
  </si>
  <si>
    <t>Пользователь</t>
  </si>
  <si>
    <t>Рамочный</t>
  </si>
  <si>
    <t>Да</t>
  </si>
  <si>
    <t>Безналичный</t>
  </si>
  <si>
    <t>Поэтапная</t>
  </si>
  <si>
    <t>Договор_ID</t>
  </si>
  <si>
    <t>Номер позиции</t>
  </si>
  <si>
    <t>Наименование</t>
  </si>
  <si>
    <t>Артикул</t>
  </si>
  <si>
    <t>Количество</t>
  </si>
  <si>
    <t>Ед. изм.</t>
  </si>
  <si>
    <t>Код ОКЕИ</t>
  </si>
  <si>
    <t>Цена за единицу</t>
  </si>
  <si>
    <t>Итоговая цена за единицу</t>
  </si>
  <si>
    <t>НДС %</t>
  </si>
  <si>
    <t>Стоимость позиции</t>
  </si>
  <si>
    <t>Поставлено количество</t>
  </si>
  <si>
    <t>Страна происхождения</t>
  </si>
  <si>
    <t>Производитель</t>
  </si>
  <si>
    <t>Гарантийный срок</t>
  </si>
  <si>
    <t>Технические характеристики</t>
  </si>
  <si>
    <t>Описание услуги</t>
  </si>
  <si>
    <t>Контрагент</t>
  </si>
  <si>
    <t>Полное наименование</t>
  </si>
  <si>
    <t>ИНН</t>
  </si>
  <si>
    <t>КПП</t>
  </si>
  <si>
    <t>ОГРН</t>
  </si>
  <si>
    <t>ОКПО</t>
  </si>
  <si>
    <t>ОКТМО</t>
  </si>
  <si>
    <t>ФИО руководителя</t>
  </si>
  <si>
    <t>Должность руководителя</t>
  </si>
  <si>
    <t>Основание действия</t>
  </si>
  <si>
    <t>Номер доверенности</t>
  </si>
  <si>
    <t>Дата доверенности</t>
  </si>
  <si>
    <t>Кем выдана доверенность</t>
  </si>
  <si>
    <t>Расчётный счёт</t>
  </si>
  <si>
    <t>Кореспондентский счёт</t>
  </si>
  <si>
    <t>БИК банка</t>
  </si>
  <si>
    <t>Наименование банка</t>
  </si>
  <si>
    <t>Юридический адрес</t>
  </si>
  <si>
    <t>Почтовый адрес</t>
  </si>
  <si>
    <t>Фактический адрес</t>
  </si>
  <si>
    <t>Телефон организации</t>
  </si>
  <si>
    <t>Факс</t>
  </si>
  <si>
    <t>E-mail организации</t>
  </si>
  <si>
    <t>Веб-сайт</t>
  </si>
  <si>
    <t>Контактное лицо</t>
  </si>
  <si>
    <t>Должность контактного лица</t>
  </si>
  <si>
    <t>Телефон контактного лица</t>
  </si>
  <si>
    <t>E-mail контактного лица</t>
  </si>
  <si>
    <t>Дополнительные контакты</t>
  </si>
  <si>
    <t>Активен</t>
  </si>
  <si>
    <t>0</t>
  </si>
  <si>
    <t>получено подтверждение от банка</t>
  </si>
  <si>
    <t>0278188387</t>
  </si>
  <si>
    <t>027401001</t>
  </si>
  <si>
    <t>не требует отправки в банк</t>
  </si>
  <si>
    <t>14</t>
  </si>
  <si>
    <t>15</t>
  </si>
  <si>
    <t>13</t>
  </si>
  <si>
    <t>10</t>
  </si>
  <si>
    <t>615525790343</t>
  </si>
  <si>
    <t>745800155215</t>
  </si>
  <si>
    <t>7707824446</t>
  </si>
  <si>
    <t>7717788349</t>
  </si>
  <si>
    <t>771801001</t>
  </si>
  <si>
    <t>7718156134</t>
  </si>
  <si>
    <t>772301001</t>
  </si>
  <si>
    <t>не направлялось в банк</t>
  </si>
  <si>
    <t>7722702900</t>
  </si>
  <si>
    <t>7728460310</t>
  </si>
  <si>
    <t>450В5107</t>
  </si>
  <si>
    <t>775149126378</t>
  </si>
  <si>
    <t>9702034286</t>
  </si>
  <si>
    <t>770201001</t>
  </si>
  <si>
    <t>№ 516003 от 29.12.2023</t>
  </si>
  <si>
    <t>№ 516127 от 29.12.2023</t>
  </si>
  <si>
    <t>№ 516188 от 29.12.2023</t>
  </si>
  <si>
    <t>Аверьянов Владимир Викторович</t>
  </si>
  <si>
    <t>280113972740</t>
  </si>
  <si>
    <t>Автономная некоммерческая организация дополнительного профессионального образования "Международная открытая группа университетов"</t>
  </si>
  <si>
    <t>7710479990</t>
  </si>
  <si>
    <t>774301001</t>
  </si>
  <si>
    <t>Айнштейн Валерия Константиновна</t>
  </si>
  <si>
    <t>772408804051</t>
  </si>
  <si>
    <t>Акуленко Оксана Евгеньевна</t>
  </si>
  <si>
    <t>690207754590</t>
  </si>
  <si>
    <t>Альмяшов Георгий Юрьевич</t>
  </si>
  <si>
    <t>420543854834</t>
  </si>
  <si>
    <t>Андреев Алексей Евгеньевич</t>
  </si>
  <si>
    <t>693900605826</t>
  </si>
  <si>
    <t>АНО "РЦТО УР"</t>
  </si>
  <si>
    <t>1834027643</t>
  </si>
  <si>
    <t>183101001</t>
  </si>
  <si>
    <t>АНО ДПО "Прикамский институт безопасности"</t>
  </si>
  <si>
    <t>5905037849</t>
  </si>
  <si>
    <t>590501001</t>
  </si>
  <si>
    <t>АНО ДПО УСЦ "ГАРМОНИЯ"</t>
  </si>
  <si>
    <t>7743087170</t>
  </si>
  <si>
    <t>АНО РЕСУРСНЫЙ ЦЕНТР ДОБРОВОЛЬЧЕСТВА СВЕРДЛОВСКОЙ ОБЛАСТИ</t>
  </si>
  <si>
    <t>6658524572</t>
  </si>
  <si>
    <t>665801001</t>
  </si>
  <si>
    <t>АО "Г/К "СЕВАСТОПОЛЬ"</t>
  </si>
  <si>
    <t>7727083034</t>
  </si>
  <si>
    <t>АО "Деалмед"</t>
  </si>
  <si>
    <t>7728820940</t>
  </si>
  <si>
    <t>772801001</t>
  </si>
  <si>
    <t>АО "Издательство "Просвещение"</t>
  </si>
  <si>
    <t>7715995942</t>
  </si>
  <si>
    <t>770701001</t>
  </si>
  <si>
    <t>АО "ПЛАТФОРМА А"</t>
  </si>
  <si>
    <t>5256197404</t>
  </si>
  <si>
    <t>525601001</t>
  </si>
  <si>
    <t>АО "ФПГ ЭНЕРГОКОНТРАКТ"</t>
  </si>
  <si>
    <t>7703268269</t>
  </si>
  <si>
    <t>772701001</t>
  </si>
  <si>
    <t>Аситов Денис Александрович</t>
  </si>
  <si>
    <t>502215743194</t>
  </si>
  <si>
    <t>Аскерханова Айшат Абдулкадыровна</t>
  </si>
  <si>
    <t>057202153692</t>
  </si>
  <si>
    <t>Асташкин Никита Сергеевич</t>
  </si>
  <si>
    <t>645116085950</t>
  </si>
  <si>
    <t>Афанасьева Лаура Сергеевна</t>
  </si>
  <si>
    <t>Ахметзянов Марат Ришатович</t>
  </si>
  <si>
    <t>230108421880</t>
  </si>
  <si>
    <t>Багаутдинов Ахмет Айратович</t>
  </si>
  <si>
    <t>693102874536</t>
  </si>
  <si>
    <t>Барладян Ирина Алексеевна</t>
  </si>
  <si>
    <t>772587507990</t>
  </si>
  <si>
    <t>Барт Андрей Алексеевич</t>
  </si>
  <si>
    <t>691011173138</t>
  </si>
  <si>
    <t>Барышникова Ольга Андреевна</t>
  </si>
  <si>
    <t>132304381681</t>
  </si>
  <si>
    <t>Белов Леонид Александрович</t>
  </si>
  <si>
    <t>500702880568</t>
  </si>
  <si>
    <t>Бенеш Мария Дмитриевна</t>
  </si>
  <si>
    <t>771539331784</t>
  </si>
  <si>
    <t>Бибик Алексей Владимирович</t>
  </si>
  <si>
    <t>612802995357</t>
  </si>
  <si>
    <t>Богомолов Евгений Александрович</t>
  </si>
  <si>
    <t>366106519594</t>
  </si>
  <si>
    <t>Бодров Сергей Юрьевич</t>
  </si>
  <si>
    <t>235701792608</t>
  </si>
  <si>
    <t>Бойко Максим Сергеевич</t>
  </si>
  <si>
    <t>720325372444</t>
  </si>
  <si>
    <t>Бондарева Дзерасса Олеговна</t>
  </si>
  <si>
    <t>151110363116</t>
  </si>
  <si>
    <t>Борисов Александр Алексеевич</t>
  </si>
  <si>
    <t>772851562702</t>
  </si>
  <si>
    <t>Бринев Денис Александрович</t>
  </si>
  <si>
    <t>422378658570</t>
  </si>
  <si>
    <t>Величко Ксения Викторовна</t>
  </si>
  <si>
    <t>773372943237</t>
  </si>
  <si>
    <t>ВРМДОО "УЧАСТИЕ"</t>
  </si>
  <si>
    <t>3448030081</t>
  </si>
  <si>
    <t>ВСКС</t>
  </si>
  <si>
    <t>7731178803</t>
  </si>
  <si>
    <t>772901001</t>
  </si>
  <si>
    <t>Газизов Нафис Флюрович</t>
  </si>
  <si>
    <t>026002849435</t>
  </si>
  <si>
    <t>ГЛАВУПДК ПРИ МИД РОССИИ</t>
  </si>
  <si>
    <t>7704010978</t>
  </si>
  <si>
    <t>691102001</t>
  </si>
  <si>
    <t>Гладилин Антон Валерьевич</t>
  </si>
  <si>
    <t>507702327966</t>
  </si>
  <si>
    <t>Глушков Денис Дмитриевич</t>
  </si>
  <si>
    <t>246415093036</t>
  </si>
  <si>
    <t>770145001</t>
  </si>
  <si>
    <t>Голичков Александр Владимирович</t>
  </si>
  <si>
    <t>772318222771</t>
  </si>
  <si>
    <t>Гончаренко Максим Владимирович</t>
  </si>
  <si>
    <t>420528307636</t>
  </si>
  <si>
    <t>Горбачев Евгений Эдвинович</t>
  </si>
  <si>
    <t>423008642979</t>
  </si>
  <si>
    <t>Гордон Михаил Григорьевич</t>
  </si>
  <si>
    <t>781455560230</t>
  </si>
  <si>
    <t>Грищук Екатерина Игоревна</t>
  </si>
  <si>
    <t>503124237587</t>
  </si>
  <si>
    <t>Груздов Владимир Михайлович</t>
  </si>
  <si>
    <t>614300310324</t>
  </si>
  <si>
    <t>Данильченко Надежда Юрьевна</t>
  </si>
  <si>
    <t>910811652223</t>
  </si>
  <si>
    <t>Джетыгенов Максим Михайлович</t>
  </si>
  <si>
    <t>500712222279</t>
  </si>
  <si>
    <t>Дмитриев Михаил Александрович</t>
  </si>
  <si>
    <t>772453231807</t>
  </si>
  <si>
    <t>Долина Наталья Николаевна</t>
  </si>
  <si>
    <t>575209338409</t>
  </si>
  <si>
    <t>Дрелих Иван Викторович</t>
  </si>
  <si>
    <t>424626091887</t>
  </si>
  <si>
    <t>Егорова Людмила Владимировна</t>
  </si>
  <si>
    <t>930702695519</t>
  </si>
  <si>
    <t>ЗАО "Комбинат дошкольного питания"</t>
  </si>
  <si>
    <t>7726221073</t>
  </si>
  <si>
    <t>ЗАО "Огнеборец"</t>
  </si>
  <si>
    <t>6661098187</t>
  </si>
  <si>
    <t>Звягинцев Максим Владимирович</t>
  </si>
  <si>
    <t>292700242273</t>
  </si>
  <si>
    <t>Змачинский Степан Викторович</t>
  </si>
  <si>
    <t>571401328127</t>
  </si>
  <si>
    <t>Иванов Александр Владимирович</t>
  </si>
  <si>
    <t>616710620764</t>
  </si>
  <si>
    <t>Изотов Ярослав Романович</t>
  </si>
  <si>
    <t>615521047850</t>
  </si>
  <si>
    <t>ИНДИВИДУАЛЬНЫЙ ПРЕДПРИНИМАТЕЛЬ АБЛАЕВ АМЕТ-ХАН СЕЯРОВИЧ</t>
  </si>
  <si>
    <t>910702580346</t>
  </si>
  <si>
    <t>Индивидуальный предприниматель Аветисян Рубен Нверович</t>
  </si>
  <si>
    <t>237207558600</t>
  </si>
  <si>
    <t>Индивидуальный предприниматель Алексеев Евгений Аркадьевич</t>
  </si>
  <si>
    <t>772901657399</t>
  </si>
  <si>
    <t>Индивидуальный предприниматель Басагаринова Екатерина Анатольевна</t>
  </si>
  <si>
    <t>272499480143</t>
  </si>
  <si>
    <t>Индивидуальный предприниматель Бобылев Николай Валентинович</t>
  </si>
  <si>
    <t>070303171426</t>
  </si>
  <si>
    <t>Индивидуальный предприниматель Бонич Виктория Викторовна</t>
  </si>
  <si>
    <t>772771638385</t>
  </si>
  <si>
    <t>Индивидуальный предприниматель Борзов Максим Александрович</t>
  </si>
  <si>
    <t>772155899081</t>
  </si>
  <si>
    <t>Индивидуальный предприниматель Гаврилов Александр Александрович</t>
  </si>
  <si>
    <t>422922913396</t>
  </si>
  <si>
    <t>Индивидуальный предприниматель Грудинин Егор Сергеевич</t>
  </si>
  <si>
    <t>532124424707</t>
  </si>
  <si>
    <t>Индивидуальный предприниматель ДЖАББОР-ЗОДА СИНОИ АБДУКОДИР</t>
  </si>
  <si>
    <t>370211546602</t>
  </si>
  <si>
    <t>Индивидуальный предприниматель Дормидонтов Владислав Юрьевич</t>
  </si>
  <si>
    <t>382301856493</t>
  </si>
  <si>
    <t>Индивидуальный предприниматель Журкин Максим Владимирович</t>
  </si>
  <si>
    <t>771910630779</t>
  </si>
  <si>
    <t>Индивидуальный предприниматель Зубова Светлана Александровна</t>
  </si>
  <si>
    <t>771385136903</t>
  </si>
  <si>
    <t>Индивидуальный предприниматель Кабанова Ольга Олеговна</t>
  </si>
  <si>
    <t>502724499409</t>
  </si>
  <si>
    <t>Индивидуальный предприниматель Казаков Муслим Алимурзаевич</t>
  </si>
  <si>
    <t>772478725090</t>
  </si>
  <si>
    <t>Индивидуальный предприниматель Калыбин Дмитрий Алексеевич</t>
  </si>
  <si>
    <t>260506865651</t>
  </si>
  <si>
    <t>Индивидуальный предприниматель Котельников Антон Вячеславович</t>
  </si>
  <si>
    <t>502909911833</t>
  </si>
  <si>
    <t>Индивидуальный предприниматель Кочеткова Ольга Геннадьевна</t>
  </si>
  <si>
    <t>422201271463</t>
  </si>
  <si>
    <t>Индивидуальный предприниматель Кюнг Федор Юрьевич</t>
  </si>
  <si>
    <t>500710423124</t>
  </si>
  <si>
    <t>Индивидуальный предприниматель Медянцев Сергей Владимирович</t>
  </si>
  <si>
    <t>550700898219</t>
  </si>
  <si>
    <t>Индивидуальный предприниматель Насиров Альберт Ильфирович</t>
  </si>
  <si>
    <t>165052837819</t>
  </si>
  <si>
    <t>Индивидуальный предприниматель Нахтиаль Эллина Германовна</t>
  </si>
  <si>
    <t>232106570489</t>
  </si>
  <si>
    <t>Индивидуальный предприниматель Никитин Дмитрий Константинович</t>
  </si>
  <si>
    <t>583805724493</t>
  </si>
  <si>
    <t>Индивидуальный предприниматель Николаев Дамир Рафаильевич</t>
  </si>
  <si>
    <t>581267283162</t>
  </si>
  <si>
    <t>Индивидуальный предприниматель Николаев Дмитрий Сергеевич</t>
  </si>
  <si>
    <t>525610533950</t>
  </si>
  <si>
    <t>Индивидуальный предприниматель Орехов Алексей Васильевич</t>
  </si>
  <si>
    <t>331901311628</t>
  </si>
  <si>
    <t>Индивидуальный предприниматель Радченко Тимур Викторович</t>
  </si>
  <si>
    <t>312819925102</t>
  </si>
  <si>
    <t>Индивидуальный предприниматель Романов Дмитрий Васильевич</t>
  </si>
  <si>
    <t>772147080605</t>
  </si>
  <si>
    <t>Индивидуальный предприниматель Севян Екатерина Михайловна</t>
  </si>
  <si>
    <t>502806036426</t>
  </si>
  <si>
    <t>Индивидуальный предприниматель Силивря Антон Валерьевич</t>
  </si>
  <si>
    <t>231517543049</t>
  </si>
  <si>
    <t>Индивидуальный предприниматель Тихонов Алексей Николаевич</t>
  </si>
  <si>
    <t>211700589191</t>
  </si>
  <si>
    <t>Индивидуальный предприниматель Туров Павел Александрович</t>
  </si>
  <si>
    <t>420533023407</t>
  </si>
  <si>
    <t>Индивидуальный предприниматель Шевченко Светлана Викторовна</t>
  </si>
  <si>
    <t>230502744784</t>
  </si>
  <si>
    <t>Индивидуальный предприниматель Шемякин Сергей Юрьевич</t>
  </si>
  <si>
    <t>183502045237</t>
  </si>
  <si>
    <t>Индивидуальный предприниматель Яшина Екатерина Владимировна</t>
  </si>
  <si>
    <t>773571947902</t>
  </si>
  <si>
    <t>ИП Акимов Владимир Валентинович</t>
  </si>
  <si>
    <t>781134233986</t>
  </si>
  <si>
    <t>ИП Барышпол Анастасия Александровна</t>
  </si>
  <si>
    <t>541000943616</t>
  </si>
  <si>
    <t>ИП Болтинов Андрей Александрович</t>
  </si>
  <si>
    <t>770201419846</t>
  </si>
  <si>
    <t>ИП Борисов К.Б.</t>
  </si>
  <si>
    <t>616515519922</t>
  </si>
  <si>
    <t>ИП Ботвиновский Алексей Михайлович</t>
  </si>
  <si>
    <t>312327800557</t>
  </si>
  <si>
    <t>ИП Горьков Анатолий Николаевич</t>
  </si>
  <si>
    <t>504224664658</t>
  </si>
  <si>
    <t>ИП Каменецкий Д.В.</t>
  </si>
  <si>
    <t>230911157804</t>
  </si>
  <si>
    <t>ИП Лапицкий Н.Н.</t>
  </si>
  <si>
    <t>190116628411</t>
  </si>
  <si>
    <t>ИП Марук Сергей Александрович</t>
  </si>
  <si>
    <t>771774712902</t>
  </si>
  <si>
    <t>ИП Матвеев Сергей Витальевич</t>
  </si>
  <si>
    <t>772372971761</t>
  </si>
  <si>
    <t>ИП Милованова О.П.</t>
  </si>
  <si>
    <t>616899384606</t>
  </si>
  <si>
    <t>ИП Мищенко Игорь Владимирович</t>
  </si>
  <si>
    <t>503203245990</t>
  </si>
  <si>
    <t>ИП Мурзаханов А.В.</t>
  </si>
  <si>
    <t>246210136698</t>
  </si>
  <si>
    <t>ИП Невежин Алексей Валерьевич</t>
  </si>
  <si>
    <t>616402217208</t>
  </si>
  <si>
    <t>ИП Обертышев Роман Васильевич</t>
  </si>
  <si>
    <t>622900983405</t>
  </si>
  <si>
    <t>ИП Орлова С.К.</t>
  </si>
  <si>
    <t>616713375493</t>
  </si>
  <si>
    <t>ИП Печерский Д. А.</t>
  </si>
  <si>
    <t>504225393922</t>
  </si>
  <si>
    <t>ИП Полочанская Ольга Геннадьевна</t>
  </si>
  <si>
    <t>616305895938</t>
  </si>
  <si>
    <t>ИП Симоненко Александр Вячеславович</t>
  </si>
  <si>
    <t>233009603525</t>
  </si>
  <si>
    <t>ИП Скляр-Лосева Наталья Александровна</t>
  </si>
  <si>
    <t>771673262862</t>
  </si>
  <si>
    <t>ИП Соболев Дмитрий Алексеевич</t>
  </si>
  <si>
    <t>621102708058</t>
  </si>
  <si>
    <t>ИП Сороковая А.Я.</t>
  </si>
  <si>
    <t>402806850537</t>
  </si>
  <si>
    <t>ИП Степанюк Ярослав Александрович</t>
  </si>
  <si>
    <t>401810127167</t>
  </si>
  <si>
    <t>ИП Ткачева Ирина Владимировна</t>
  </si>
  <si>
    <t>616605444622</t>
  </si>
  <si>
    <t>ИП Хлобыстова Наталья Сергеевна</t>
  </si>
  <si>
    <t>772158051155</t>
  </si>
  <si>
    <t>ИП Чепулис Е.М.</t>
  </si>
  <si>
    <t>241901694822</t>
  </si>
  <si>
    <t>ИП Швецов Андрей Борисович</t>
  </si>
  <si>
    <t>772158334650</t>
  </si>
  <si>
    <t>ИП Шевалье Оксана Константиновна</t>
  </si>
  <si>
    <t>772353968876</t>
  </si>
  <si>
    <t>ИП Ящик Александр Иванович</t>
  </si>
  <si>
    <t>616606551095</t>
  </si>
  <si>
    <t>Исаенко Алёна Андреевна</t>
  </si>
  <si>
    <t>525211162327</t>
  </si>
  <si>
    <t>Карапетян Сергей Арменович</t>
  </si>
  <si>
    <t>711503228859</t>
  </si>
  <si>
    <t>Касицин Александр Вадимович</t>
  </si>
  <si>
    <t>507001918030</t>
  </si>
  <si>
    <t>Ким Олег Витальевич</t>
  </si>
  <si>
    <t>420506971530</t>
  </si>
  <si>
    <t>Классен Татьяна Андреевна</t>
  </si>
  <si>
    <t>243401290656</t>
  </si>
  <si>
    <t>Козеев Евгений Викторович</t>
  </si>
  <si>
    <t>503217839400</t>
  </si>
  <si>
    <t>Кокоулин Александр Сергеевич</t>
  </si>
  <si>
    <t>420545840629</t>
  </si>
  <si>
    <t>Колесников Иван Николаевич</t>
  </si>
  <si>
    <t>772702374639</t>
  </si>
  <si>
    <t>Комаров Дмитрий Владимирович</t>
  </si>
  <si>
    <t>692700481353</t>
  </si>
  <si>
    <t>Кондрашина Валерия Сергеевна</t>
  </si>
  <si>
    <t>290124419083</t>
  </si>
  <si>
    <t>Копылова Ольга Владимировна</t>
  </si>
  <si>
    <t>673109458927</t>
  </si>
  <si>
    <t>Королев Александр Викторович</t>
  </si>
  <si>
    <t>504210924401</t>
  </si>
  <si>
    <t>Король Вадим Александрович</t>
  </si>
  <si>
    <t>611604085996</t>
  </si>
  <si>
    <t>Короткова Татьяна Александровна</t>
  </si>
  <si>
    <t>362102072981</t>
  </si>
  <si>
    <t>Кощеева Ольга Андреевна</t>
  </si>
  <si>
    <t>420517278126</t>
  </si>
  <si>
    <t>Кременецкая Галина Сергеевна</t>
  </si>
  <si>
    <t>345500078174</t>
  </si>
  <si>
    <t>Кузнецова Мария Валерьевна</t>
  </si>
  <si>
    <t>771823246534</t>
  </si>
  <si>
    <t>Кузьмин Лев Олегович</t>
  </si>
  <si>
    <t>234321338499</t>
  </si>
  <si>
    <t>Кулачинский Максим Андреевич</t>
  </si>
  <si>
    <t>236005600416</t>
  </si>
  <si>
    <t>Куриева Кристина Евгеньевна</t>
  </si>
  <si>
    <t>540131974415</t>
  </si>
  <si>
    <t>Кустылкина Дарья Максимовна</t>
  </si>
  <si>
    <t>690406806395</t>
  </si>
  <si>
    <t>Лукьянов Илья Дмитриевич</t>
  </si>
  <si>
    <t>026827613208</t>
  </si>
  <si>
    <t>Лунев Артем Андреевич</t>
  </si>
  <si>
    <t>732895229407</t>
  </si>
  <si>
    <t>Любарец Евгения Дмитриевна</t>
  </si>
  <si>
    <t>772993378875</t>
  </si>
  <si>
    <t>Любешкина Вероника Александровна</t>
  </si>
  <si>
    <t>770478546080</t>
  </si>
  <si>
    <t>Любимцев Михаил Валерьевич</t>
  </si>
  <si>
    <t>390404397452</t>
  </si>
  <si>
    <t>Лягин Андрей Анатольевич</t>
  </si>
  <si>
    <t>772155939908</t>
  </si>
  <si>
    <t>Маклозян Владимир Абрамович</t>
  </si>
  <si>
    <t>772155903718</t>
  </si>
  <si>
    <t>Малов Алексей Николаевич</t>
  </si>
  <si>
    <t>760905231509</t>
  </si>
  <si>
    <t>Маргарян Марина Артаковна</t>
  </si>
  <si>
    <t>236700804588</t>
  </si>
  <si>
    <t>Маркина Екатерина Дмитриевна</t>
  </si>
  <si>
    <t>504710774867</t>
  </si>
  <si>
    <t>Маркодеева Анастасия Олеговна</t>
  </si>
  <si>
    <t>540701213503</t>
  </si>
  <si>
    <t>МАУ "ОК "ОТДЫХ"</t>
  </si>
  <si>
    <t>4205152450</t>
  </si>
  <si>
    <t>420501001</t>
  </si>
  <si>
    <t>Миленин Данил Вячеславович</t>
  </si>
  <si>
    <t>345906354308</t>
  </si>
  <si>
    <t>Милов Константин Анатольевич</t>
  </si>
  <si>
    <t>561400534219</t>
  </si>
  <si>
    <t>МИНИСТЕРСТВО ФИНАНСОВ ХАБАРОВСКОГО КРАЯ (КГБНОУ КДЦ СОЗВЕЗДИЕ 20226Ц90810)</t>
  </si>
  <si>
    <t>2713012098</t>
  </si>
  <si>
    <t>271301001</t>
  </si>
  <si>
    <t>МИНФИН ОМСКОЙ ОБЛАСТИ (БУ ОО ДО "СШОР "ДИНАМО")</t>
  </si>
  <si>
    <t>5503042623</t>
  </si>
  <si>
    <t>550101001</t>
  </si>
  <si>
    <t>МИНФИН РД (ГБОУ РД "РЦО "СОЛНЕЧНЫЙ БЕРЕГ" 20036Ш53900)</t>
  </si>
  <si>
    <t>0541021512</t>
  </si>
  <si>
    <t>052201001</t>
  </si>
  <si>
    <t>Московский филиал ООО РСО "ЕВРОИНС"</t>
  </si>
  <si>
    <t>7714312079</t>
  </si>
  <si>
    <t>770943001</t>
  </si>
  <si>
    <t>Мударисова Анастасия Рустамовна</t>
  </si>
  <si>
    <t>667108273160</t>
  </si>
  <si>
    <t>МФ ООО "Отель "Салют"</t>
  </si>
  <si>
    <t>5003112859</t>
  </si>
  <si>
    <t>772943001</t>
  </si>
  <si>
    <t>Нарбутовская Виктория Юрьевна</t>
  </si>
  <si>
    <t>614107054136</t>
  </si>
  <si>
    <t>Невмержицкий Николай Николаевич</t>
  </si>
  <si>
    <t>773700826546</t>
  </si>
  <si>
    <t>Никитин Евгений Владимирович</t>
  </si>
  <si>
    <t>423083529281</t>
  </si>
  <si>
    <t>Общество с ограниченной ответственностью "АЛЕКС ПРОМО МСК"</t>
  </si>
  <si>
    <t>9725120573</t>
  </si>
  <si>
    <t>772501001</t>
  </si>
  <si>
    <t>ОБЩЕСТВО С ОГРАНИЧЕННОЙ ОТВЕТСТВЕННОСТЬЮ "ДОНАВТОЗАПЧАСТЬ"</t>
  </si>
  <si>
    <t>6141051175</t>
  </si>
  <si>
    <t>Общество с ограниченной ответственностью "КОМПАНИЯ МЕДЭКС-ИНТЕР"</t>
  </si>
  <si>
    <t>9718043487</t>
  </si>
  <si>
    <t>771901001</t>
  </si>
  <si>
    <t>Общество с ограниченной ответственностью "КОМПИТ ПРО"</t>
  </si>
  <si>
    <t>9726010647</t>
  </si>
  <si>
    <t>Общество с ограниченной ответственностью "Материалы и оборудование"</t>
  </si>
  <si>
    <t>5075040289</t>
  </si>
  <si>
    <t>Общество с ограниченной ответственностью "Пластик Он Лайн"</t>
  </si>
  <si>
    <t>5023008164</t>
  </si>
  <si>
    <t>Общество с ограниченной ответственностью "Принтмол"</t>
  </si>
  <si>
    <t>7724873066</t>
  </si>
  <si>
    <t>Общество с ограниченной ответственностью "Регистратор доменных имен РЕГ.РУ"</t>
  </si>
  <si>
    <t>7733568767</t>
  </si>
  <si>
    <t>Общество с ограниченной ответственностью "Торговый Дом Редвинс"</t>
  </si>
  <si>
    <t>7723474630</t>
  </si>
  <si>
    <t>Общество с ограниченной ответственностью "Фабрика Фрегат"</t>
  </si>
  <si>
    <t>4706051364</t>
  </si>
  <si>
    <t>470601001</t>
  </si>
  <si>
    <t>Общество с ограниченной ответственностью "ЦентрАвто"</t>
  </si>
  <si>
    <t>9721083909</t>
  </si>
  <si>
    <t>772101001</t>
  </si>
  <si>
    <t>Олешкевич Евгений Николаевич</t>
  </si>
  <si>
    <t>390102562935</t>
  </si>
  <si>
    <t>ООО " Датавэй Секьюрити"</t>
  </si>
  <si>
    <t>7729734370</t>
  </si>
  <si>
    <t>772601001</t>
  </si>
  <si>
    <t>ООО " ИКСКЕЙ"</t>
  </si>
  <si>
    <t>2511102207</t>
  </si>
  <si>
    <t>251101001</t>
  </si>
  <si>
    <t>ООО " Интурист-Новгород"</t>
  </si>
  <si>
    <t>5321106093</t>
  </si>
  <si>
    <t>532101001</t>
  </si>
  <si>
    <t>ООО "7000"</t>
  </si>
  <si>
    <t>7709745609</t>
  </si>
  <si>
    <t>ООО "АБ "Жилпроект"</t>
  </si>
  <si>
    <t>7709462713</t>
  </si>
  <si>
    <t>502701001</t>
  </si>
  <si>
    <t>ООО "АБИУС"</t>
  </si>
  <si>
    <t>7709369584</t>
  </si>
  <si>
    <t>773101001</t>
  </si>
  <si>
    <t>ООО "Аверс Трейд"</t>
  </si>
  <si>
    <t>7720744398</t>
  </si>
  <si>
    <t>ООО "АВТОМОЛЛ"</t>
  </si>
  <si>
    <t>6102021755</t>
  </si>
  <si>
    <t>610201001</t>
  </si>
  <si>
    <t>ООО "Агат 8"</t>
  </si>
  <si>
    <t>5032301458</t>
  </si>
  <si>
    <t>ООО "АЛЕАН ОТДЫХ"</t>
  </si>
  <si>
    <t>7743580026</t>
  </si>
  <si>
    <t>ООО "АППОМЕД"</t>
  </si>
  <si>
    <t>7733865216</t>
  </si>
  <si>
    <t>773301001</t>
  </si>
  <si>
    <t>ООО "АУР ПРОДЖЕКТ"</t>
  </si>
  <si>
    <t>9724050404</t>
  </si>
  <si>
    <t>772401001</t>
  </si>
  <si>
    <t>ООО "Афина"</t>
  </si>
  <si>
    <t>7842223410</t>
  </si>
  <si>
    <t>ООО "БЕЙДЖ-ОНЛАЙН"</t>
  </si>
  <si>
    <t>5038121902</t>
  </si>
  <si>
    <t>ООО "БИЗЕ-КЕЙК"</t>
  </si>
  <si>
    <t>7713713215</t>
  </si>
  <si>
    <t>ООО "Бренд Сити"</t>
  </si>
  <si>
    <t>7726358110</t>
  </si>
  <si>
    <t>ООО "ВАЛЕНСИЯ"</t>
  </si>
  <si>
    <t>2312306622</t>
  </si>
  <si>
    <t>231201001</t>
  </si>
  <si>
    <t>ООО "Ваш Доктор"</t>
  </si>
  <si>
    <t>6168068137</t>
  </si>
  <si>
    <t>616801001</t>
  </si>
  <si>
    <t>ООО "Виктория"</t>
  </si>
  <si>
    <t>7702830213</t>
  </si>
  <si>
    <t>ООО "ВОЕНТОРГ-РИТЕЙЛ"</t>
  </si>
  <si>
    <t>7721851829</t>
  </si>
  <si>
    <t>771401001</t>
  </si>
  <si>
    <t>ООО "ВС-Групп"</t>
  </si>
  <si>
    <t>6670221535</t>
  </si>
  <si>
    <t>ООО "Высокая опора"</t>
  </si>
  <si>
    <t>9718172669</t>
  </si>
  <si>
    <t>ООО "Глав Групп"</t>
  </si>
  <si>
    <t>5009125194</t>
  </si>
  <si>
    <t>500901001</t>
  </si>
  <si>
    <t>ООО "ДАР-МЕБЕЛЬ"</t>
  </si>
  <si>
    <t>5027227128</t>
  </si>
  <si>
    <t>ООО "ДА-ТРАНС РУС"</t>
  </si>
  <si>
    <t>7726463210</t>
  </si>
  <si>
    <t>771701001</t>
  </si>
  <si>
    <t>ООО "Девелопмент-Групп"</t>
  </si>
  <si>
    <t>5024097939</t>
  </si>
  <si>
    <t>ООО "Делегат-Сервис"</t>
  </si>
  <si>
    <t>7703795586</t>
  </si>
  <si>
    <t>770501001</t>
  </si>
  <si>
    <t>ООО "ДИАТРОН"</t>
  </si>
  <si>
    <t>7736233984</t>
  </si>
  <si>
    <t>ООО "ДОК "СПУТНИК"</t>
  </si>
  <si>
    <t>6123111953</t>
  </si>
  <si>
    <t>ООО "ДС-Безопасность"</t>
  </si>
  <si>
    <t>7701941009</t>
  </si>
  <si>
    <t>ООО "ЕВРОАЗИЯ-СЕРВИС"</t>
  </si>
  <si>
    <t>7204186067</t>
  </si>
  <si>
    <t>720301001</t>
  </si>
  <si>
    <t>ООО "ЕВРОФОРДСЕРВИС"</t>
  </si>
  <si>
    <t>7731403262</t>
  </si>
  <si>
    <t>ООО "ЗИЗИФОРА"</t>
  </si>
  <si>
    <t>9721080760</t>
  </si>
  <si>
    <t>ООО "ИНТЕРДЕКОР"</t>
  </si>
  <si>
    <t>7707426332</t>
  </si>
  <si>
    <t>ООО "Интернет решения"</t>
  </si>
  <si>
    <t>7704217370</t>
  </si>
  <si>
    <t>ООО "ИНФОРКОМ - ЦЕНТР"</t>
  </si>
  <si>
    <t>7701279931</t>
  </si>
  <si>
    <t>501501001</t>
  </si>
  <si>
    <t>ООО "Иридиум Коммьюникешенс"</t>
  </si>
  <si>
    <t>7715733344</t>
  </si>
  <si>
    <t>771501001</t>
  </si>
  <si>
    <t>ООО "ИТП ТЕМПЕРО"</t>
  </si>
  <si>
    <t>7704489408</t>
  </si>
  <si>
    <t>ООО "Кейтеринг Сервис"</t>
  </si>
  <si>
    <t>3664230470</t>
  </si>
  <si>
    <t>366201001</t>
  </si>
  <si>
    <t>ООО "КОВЧЕГ"</t>
  </si>
  <si>
    <t>1840082297</t>
  </si>
  <si>
    <t>ООО "КОМПАНИЯ ПИЛОТ"</t>
  </si>
  <si>
    <t>7730133768</t>
  </si>
  <si>
    <t>773001001</t>
  </si>
  <si>
    <t>ООО "Комус"</t>
  </si>
  <si>
    <t>7721793895</t>
  </si>
  <si>
    <t>997350001</t>
  </si>
  <si>
    <t>ООО "Континент"</t>
  </si>
  <si>
    <t>6671275928</t>
  </si>
  <si>
    <t>ООО "КОРПЛЭНД"</t>
  </si>
  <si>
    <t>7723930258</t>
  </si>
  <si>
    <t>ООО "Корпоративный альянс "Турне-Транс"</t>
  </si>
  <si>
    <t>3905605417</t>
  </si>
  <si>
    <t>390601001</t>
  </si>
  <si>
    <t>ООО "КПК"</t>
  </si>
  <si>
    <t>4205346913</t>
  </si>
  <si>
    <t>ООО "Креатив Сервис Групп"</t>
  </si>
  <si>
    <t>5020085756</t>
  </si>
  <si>
    <t>502001001</t>
  </si>
  <si>
    <t>ООО "КШП г. Лобня"</t>
  </si>
  <si>
    <t>5047180742</t>
  </si>
  <si>
    <t>504701001</t>
  </si>
  <si>
    <t>ООО "ЛЕСХОЗСНАБ"</t>
  </si>
  <si>
    <t>5038033276</t>
  </si>
  <si>
    <t>503801001</t>
  </si>
  <si>
    <t>ООО "Логистик Карго"</t>
  </si>
  <si>
    <t>5009076973</t>
  </si>
  <si>
    <t>ООО "ЛОРЭМ"</t>
  </si>
  <si>
    <t>9701118102</t>
  </si>
  <si>
    <t>ООО "Мавиком-офис"</t>
  </si>
  <si>
    <t>7715984789</t>
  </si>
  <si>
    <t>ООО "Мастерская Наградион"</t>
  </si>
  <si>
    <t>7720752014</t>
  </si>
  <si>
    <t>771301001</t>
  </si>
  <si>
    <t>ООО "Медиа Альянс"</t>
  </si>
  <si>
    <t>7720600692</t>
  </si>
  <si>
    <t>ООО "Мед-Проект"</t>
  </si>
  <si>
    <t>7734484020</t>
  </si>
  <si>
    <t>773401001</t>
  </si>
  <si>
    <t>ООО "Медтехника СПб"</t>
  </si>
  <si>
    <t>7816495505</t>
  </si>
  <si>
    <t>780701001</t>
  </si>
  <si>
    <t>ООО "МОДАЛ"</t>
  </si>
  <si>
    <t>7707447090</t>
  </si>
  <si>
    <t>ООО "Моспромстрой Отель Менеджмент"</t>
  </si>
  <si>
    <t>7710551686</t>
  </si>
  <si>
    <t>ООО "НБН"</t>
  </si>
  <si>
    <t>5321137567</t>
  </si>
  <si>
    <t>ООО "НЕБЕСНАЯ МЕХАНИКА"</t>
  </si>
  <si>
    <t>7723918518</t>
  </si>
  <si>
    <t>ООО "Ника"</t>
  </si>
  <si>
    <t>7719880646</t>
  </si>
  <si>
    <t>ООО "Новый вкус"</t>
  </si>
  <si>
    <t>7704499886</t>
  </si>
  <si>
    <t>ООО "НОРБЕЛ"</t>
  </si>
  <si>
    <t>7722291425</t>
  </si>
  <si>
    <t>ООО "НОРД-СПЕЦОДЕЖДА"</t>
  </si>
  <si>
    <t>5001070024</t>
  </si>
  <si>
    <t>500101001</t>
  </si>
  <si>
    <t>ООО "НПП "Щит"</t>
  </si>
  <si>
    <t>7723543065</t>
  </si>
  <si>
    <t>ООО "НПФ ОРТ"</t>
  </si>
  <si>
    <t>7802477665</t>
  </si>
  <si>
    <t>780201001</t>
  </si>
  <si>
    <t>ООО "ОПЫТ"</t>
  </si>
  <si>
    <t>7737044468</t>
  </si>
  <si>
    <t>ООО "Отель "Салют"</t>
  </si>
  <si>
    <t>5003112858</t>
  </si>
  <si>
    <t>ООО "ОТЕЛЬ АССА"</t>
  </si>
  <si>
    <t>0608037460</t>
  </si>
  <si>
    <t>ООО "Офисмаг"</t>
  </si>
  <si>
    <t>5009062762</t>
  </si>
  <si>
    <t>ООО "ПАРК-ОТЕЛЬ ГРААЛЬ"</t>
  </si>
  <si>
    <t>4250001340</t>
  </si>
  <si>
    <t>425001001</t>
  </si>
  <si>
    <t>ООО "ПИЛОТ-М"</t>
  </si>
  <si>
    <t>7730634034</t>
  </si>
  <si>
    <t>ООО "ПМГ"</t>
  </si>
  <si>
    <t>7743788472</t>
  </si>
  <si>
    <t>ООО "ПРЕДРЕЙСОВЫЙ"</t>
  </si>
  <si>
    <t>7704351079</t>
  </si>
  <si>
    <t>ООО "Премиум-Арго"</t>
  </si>
  <si>
    <t>2336010159</t>
  </si>
  <si>
    <t>233601001</t>
  </si>
  <si>
    <t>ООО "ПРОЕКТ НАШЕ ВРЕМЯ"</t>
  </si>
  <si>
    <t>9729275017</t>
  </si>
  <si>
    <t>ООО "ПРОМСОЮЗ"</t>
  </si>
  <si>
    <t>5027302390</t>
  </si>
  <si>
    <t>ООО "ПТК"</t>
  </si>
  <si>
    <t>7714352593</t>
  </si>
  <si>
    <t>773601001</t>
  </si>
  <si>
    <t>ООО "Пятый партнер"</t>
  </si>
  <si>
    <t>7715900235</t>
  </si>
  <si>
    <t>ООО "Развитие"</t>
  </si>
  <si>
    <t>7715824866</t>
  </si>
  <si>
    <t>ООО "РемСтрой"</t>
  </si>
  <si>
    <t>7729632071</t>
  </si>
  <si>
    <t>ООО "Родник здоровья"</t>
  </si>
  <si>
    <t>2720063664</t>
  </si>
  <si>
    <t>ООО "РСК"</t>
  </si>
  <si>
    <t>7730320415</t>
  </si>
  <si>
    <t>ООО "Русмединвест"</t>
  </si>
  <si>
    <t>7734450775</t>
  </si>
  <si>
    <t>ООО "САР"</t>
  </si>
  <si>
    <t>7730644900</t>
  </si>
  <si>
    <t>ООО "Сварог"</t>
  </si>
  <si>
    <t>7714383016</t>
  </si>
  <si>
    <t>ООО "СДЭК-Глобал"</t>
  </si>
  <si>
    <t>7722327689</t>
  </si>
  <si>
    <t>540601001</t>
  </si>
  <si>
    <t>ООО "СИЗКОНТРАКТ"</t>
  </si>
  <si>
    <t>7726391276</t>
  </si>
  <si>
    <t>ООО "СимаОпт"</t>
  </si>
  <si>
    <t>6679080455</t>
  </si>
  <si>
    <t>667901001</t>
  </si>
  <si>
    <t>ООО "СК "Согласие"</t>
  </si>
  <si>
    <t>7706196090</t>
  </si>
  <si>
    <t>ООО "СОЭНТЕ"</t>
  </si>
  <si>
    <t>7722788866</t>
  </si>
  <si>
    <t>ООО "СП-Восток"</t>
  </si>
  <si>
    <t>7723469566</t>
  </si>
  <si>
    <t>ООО "СПУТНИК-2М"</t>
  </si>
  <si>
    <t>7723854166</t>
  </si>
  <si>
    <t>ООО "СТРОЙФУД"</t>
  </si>
  <si>
    <t>7727301910</t>
  </si>
  <si>
    <t>ООО "ТАП"</t>
  </si>
  <si>
    <t>7806240201</t>
  </si>
  <si>
    <t>780601001</t>
  </si>
  <si>
    <t>ООО "Технологии вкуса"</t>
  </si>
  <si>
    <t>7724757581</t>
  </si>
  <si>
    <t>ООО "ТЕХНООПТ"</t>
  </si>
  <si>
    <t>7743383412</t>
  </si>
  <si>
    <t>ООО "ТехЭксперт"</t>
  </si>
  <si>
    <t>7703475748</t>
  </si>
  <si>
    <t>ООО "ТИПОГРАФИЯ ПМГ"</t>
  </si>
  <si>
    <t>7733321953</t>
  </si>
  <si>
    <t>ООО "Торговый Дом Принтград"</t>
  </si>
  <si>
    <t>3662991260</t>
  </si>
  <si>
    <t>ООО "Торговый дом Текстиль М"</t>
  </si>
  <si>
    <t>5031069379</t>
  </si>
  <si>
    <t>503101001</t>
  </si>
  <si>
    <t>ООО "Транзит-М"</t>
  </si>
  <si>
    <t>7734385082</t>
  </si>
  <si>
    <t>ООО "ТСЦ ЗАПЛАТКА"</t>
  </si>
  <si>
    <t>9701252813</t>
  </si>
  <si>
    <t>770101001</t>
  </si>
  <si>
    <t>ООО "ТТТ"</t>
  </si>
  <si>
    <t>9717013024</t>
  </si>
  <si>
    <t>ООО "ТЦПБ"</t>
  </si>
  <si>
    <t>7723106795</t>
  </si>
  <si>
    <t>ООО "УСАДЬБА ХРАБРОВО"</t>
  </si>
  <si>
    <t>7714473679</t>
  </si>
  <si>
    <t>ООО "Феникс"</t>
  </si>
  <si>
    <t>7733872083</t>
  </si>
  <si>
    <t>ООО "ФИКС-КОМ"</t>
  </si>
  <si>
    <t>7707436531</t>
  </si>
  <si>
    <t>771001001</t>
  </si>
  <si>
    <t>ООО "ФЛАГМАН"</t>
  </si>
  <si>
    <t>7721288050</t>
  </si>
  <si>
    <t>ООО "ФОРМУЛА ИТ"</t>
  </si>
  <si>
    <t>7706444219</t>
  </si>
  <si>
    <t>ООО "ФОРТУНА ПЛЮС"</t>
  </si>
  <si>
    <t>7743121110</t>
  </si>
  <si>
    <t>ООО "ФУДМАСТЕР"</t>
  </si>
  <si>
    <t>9702035900</t>
  </si>
  <si>
    <t>ООО "Химчистка Онлайн"</t>
  </si>
  <si>
    <t>9703029955</t>
  </si>
  <si>
    <t>770301001</t>
  </si>
  <si>
    <t>ООО "Центр Защита"</t>
  </si>
  <si>
    <t>1831178620</t>
  </si>
  <si>
    <t>184101001</t>
  </si>
  <si>
    <t>ООО "ЦИФРОДАТА"</t>
  </si>
  <si>
    <t>7707416461</t>
  </si>
  <si>
    <t>ООО "Экосреда"</t>
  </si>
  <si>
    <t>7722348270</t>
  </si>
  <si>
    <t>ООО "Экспресс Ёселф"</t>
  </si>
  <si>
    <t>7716690968</t>
  </si>
  <si>
    <t>771601001</t>
  </si>
  <si>
    <t>ООО "ЭКСТРИМ ТИМ ГРУПП"</t>
  </si>
  <si>
    <t>7203077940</t>
  </si>
  <si>
    <t>ООО "ЭЛМАРКЕТ"</t>
  </si>
  <si>
    <t>7722493037</t>
  </si>
  <si>
    <t>772201001</t>
  </si>
  <si>
    <t>ООО "Юг Моторс"</t>
  </si>
  <si>
    <t>2310222127</t>
  </si>
  <si>
    <t>231001001</t>
  </si>
  <si>
    <t>ООО "Юг-Логистика"</t>
  </si>
  <si>
    <t>2315176820</t>
  </si>
  <si>
    <t>231501001</t>
  </si>
  <si>
    <t>ООО «ПРИНТЭКО-Сейлс»</t>
  </si>
  <si>
    <t>7722729701</t>
  </si>
  <si>
    <t>ООО ДСОЛ "СОЛНЫШКО"</t>
  </si>
  <si>
    <t>2100004108</t>
  </si>
  <si>
    <t>ООО КОМПАНИЯ "СПЛАВ"</t>
  </si>
  <si>
    <t>7720019512</t>
  </si>
  <si>
    <t>772001001</t>
  </si>
  <si>
    <t>ООО ПКФ "Виринея"</t>
  </si>
  <si>
    <t>6453004727</t>
  </si>
  <si>
    <t>645301001</t>
  </si>
  <si>
    <t>ООО Страховая Компания "Гелиос"</t>
  </si>
  <si>
    <t>7705513090</t>
  </si>
  <si>
    <t>ООО ЧОО "ЗУБР"</t>
  </si>
  <si>
    <t>5003116450</t>
  </si>
  <si>
    <t>500301001</t>
  </si>
  <si>
    <t>ООО"АМВМ групп"</t>
  </si>
  <si>
    <t>5001087250</t>
  </si>
  <si>
    <t>Отдел № 28 УФК ПО Г. МОСКВЕ (ФГАУ "МУЗЕЙНО-ХРАМОВЫЙ КОМПЛЕКС ВС РФ" МИНОБОРОНЫ РОССИИ л/с 30736Я73390)</t>
  </si>
  <si>
    <t>7728659070</t>
  </si>
  <si>
    <t>Открытое акционерное общество "Московско-Узбекский гостинично-коммерческий центр"</t>
  </si>
  <si>
    <t>7721182857</t>
  </si>
  <si>
    <t>Павлик Кристина Валентиновна</t>
  </si>
  <si>
    <t>224201896449</t>
  </si>
  <si>
    <t>ПАО "Россети Московский регион"</t>
  </si>
  <si>
    <t>5036065113</t>
  </si>
  <si>
    <t>997650001</t>
  </si>
  <si>
    <t>ПАО "РОСТЕЛЕКОМ"</t>
  </si>
  <si>
    <t>7707049388</t>
  </si>
  <si>
    <t>773443001</t>
  </si>
  <si>
    <t>Перга Никита Юрьевич</t>
  </si>
  <si>
    <t>772842167914</t>
  </si>
  <si>
    <t>Петров Даниэль Александрович</t>
  </si>
  <si>
    <t>507806359497</t>
  </si>
  <si>
    <t>Платёж не проходил</t>
  </si>
  <si>
    <t>Позднякова Дарья Васильевна</t>
  </si>
  <si>
    <t>332892325542</t>
  </si>
  <si>
    <t>Посаженников Данил Дмитриевич</t>
  </si>
  <si>
    <t>920160801479</t>
  </si>
  <si>
    <t>Прокопенко Евгений Владимирович</t>
  </si>
  <si>
    <t>571701276198</t>
  </si>
  <si>
    <t>Проскурин Артем Александрович</t>
  </si>
  <si>
    <t>381105054004</t>
  </si>
  <si>
    <t>Радько Иван Валерьевич</t>
  </si>
  <si>
    <t>344692490901</t>
  </si>
  <si>
    <t>Рассказова Елена Андреевна</t>
  </si>
  <si>
    <t>612102128510</t>
  </si>
  <si>
    <t>Рудковский Алексей Леонидович</t>
  </si>
  <si>
    <t>450902454703</t>
  </si>
  <si>
    <t>Ручкин Александр Александрович</t>
  </si>
  <si>
    <t>616615213705</t>
  </si>
  <si>
    <t>Рыбаков Денис Владимирович</t>
  </si>
  <si>
    <t>645121899961</t>
  </si>
  <si>
    <t>САО "РЕСО-Гарантия"</t>
  </si>
  <si>
    <t>7710045520</t>
  </si>
  <si>
    <t>Сарксян Асмик Левоновна</t>
  </si>
  <si>
    <t>772970119070</t>
  </si>
  <si>
    <t>Семенова Валерия Андреевна</t>
  </si>
  <si>
    <t>507507157492</t>
  </si>
  <si>
    <t>Слуцкий Роман Олегович</t>
  </si>
  <si>
    <t>312310546609</t>
  </si>
  <si>
    <t>Соловьев Олег Олегович</t>
  </si>
  <si>
    <t>691007637235</t>
  </si>
  <si>
    <t>Соловьева Анна Юрьевна</t>
  </si>
  <si>
    <t>507804383487</t>
  </si>
  <si>
    <t>Сологубовский Тимофей Иванович</t>
  </si>
  <si>
    <t>310208579582</t>
  </si>
  <si>
    <t>Солодилова Екатерина Геннадьевна</t>
  </si>
  <si>
    <t>772589801500</t>
  </si>
  <si>
    <t>СПАО "Ингосстрах"</t>
  </si>
  <si>
    <t>7705042179</t>
  </si>
  <si>
    <t>Спицин Никита Сергеевич</t>
  </si>
  <si>
    <t>773421774707</t>
  </si>
  <si>
    <t>Страховое акционерное общество "ВСК"</t>
  </si>
  <si>
    <t>7710026574</t>
  </si>
  <si>
    <t>997950001</t>
  </si>
  <si>
    <t>Ткаченко Арина Радиковна</t>
  </si>
  <si>
    <t>420542395634</t>
  </si>
  <si>
    <t>Тлеубаев Ильяс Жумагалиевич</t>
  </si>
  <si>
    <t>661106928684</t>
  </si>
  <si>
    <t>Толпышев Михаил Максимович</t>
  </si>
  <si>
    <t>911107866821</t>
  </si>
  <si>
    <t>Трофимова Ирина Олеговна</t>
  </si>
  <si>
    <t>741111650561</t>
  </si>
  <si>
    <t>УПРАВЛЕНИЕ ФИНАНСОВ БЕРЕЗОВСКОГО МУНИЦИПАЛЬНОГО ОКРУГА (БМАУ "ДЗОЛ""ЗАРНИЦА")</t>
  </si>
  <si>
    <t>6604008532</t>
  </si>
  <si>
    <t>667801001</t>
  </si>
  <si>
    <t>Уральский Мирослав Александрович</t>
  </si>
  <si>
    <t>667018600285</t>
  </si>
  <si>
    <t>Урядова Анастасия Олеговна</t>
  </si>
  <si>
    <t>312316763261</t>
  </si>
  <si>
    <t>Усманов Фарид Марселевич</t>
  </si>
  <si>
    <t>163702573506</t>
  </si>
  <si>
    <t>УФК ПО Г. МОСКВЕ (АКАДЕМИЯ ГПС МЧС РОССИИ 20736X97070)</t>
  </si>
  <si>
    <t>7717035419</t>
  </si>
  <si>
    <t>УФК ПО Г. МОСКВЕ (ГУ МОСКОВСКОЕ РО ФОНДА СОЦИАЛЬНОГО СТРАХОВАНИЯ РФ)</t>
  </si>
  <si>
    <t>7710030933</t>
  </si>
  <si>
    <t>УФК ПО Г. МОСКВЕ (ИФНС РОССИИ № 29 ПО Г. МОСКВЕ)</t>
  </si>
  <si>
    <t>7729150007</t>
  </si>
  <si>
    <t>УФК ПО Г. МОСКВЕ (ОСФР ПО Г. МОСКВЕ И МОСКОВСКОЙ ОБЛАСТИ 04734Ф73010)</t>
  </si>
  <si>
    <t>7703363868</t>
  </si>
  <si>
    <t>770801001</t>
  </si>
  <si>
    <t>УФК ПО Г. МОСКВЕ (ФГАУ "ЦВППКИО ВС РФ "ПАТРИОТ" 30736Щ87650)</t>
  </si>
  <si>
    <t>5032254871</t>
  </si>
  <si>
    <t>УФК ПО МОСКОВСКОЙ ОБЛАСТИ (ФГБУ "ПАНСИОНАТ "СОЛНЕЧНЫЙ" МЧС РОССИИ" 20486У25960)</t>
  </si>
  <si>
    <t>5015012008</t>
  </si>
  <si>
    <t>УФК по Орловской области (Мценское районное отделение судебных приставов УФССП по Орловской области л/сч 05541845410)</t>
  </si>
  <si>
    <t>5752035640</t>
  </si>
  <si>
    <t>УФК ПО РОСТОВСКОЙ ОБЛАСТИ (Первомайское РОСП г. Ростова-на-Дону ГУФССП России по Ростовской области 05581848820)</t>
  </si>
  <si>
    <t>6164229665</t>
  </si>
  <si>
    <t>УФК по Рязанской (ОСП по г. Рязани и Рязанскому району УФССП России по Рязанской области л/с 05591D07540)</t>
  </si>
  <si>
    <t>6234011182</t>
  </si>
  <si>
    <t>УФК ПО ТУЛЬСКОЙ ОБЛАСТИ (МИ ФНС РОССИИ ПО УПРАВЛЕНИЮ ДОЛГОМ)</t>
  </si>
  <si>
    <t>7727406020</t>
  </si>
  <si>
    <t>ФАУ "ЦАГИ"</t>
  </si>
  <si>
    <t>5040177331</t>
  </si>
  <si>
    <t>ФГБВОУ ВО "АКАДЕМИЯ ГРАЖДАНСКОЙ ЗАЩИТЫ МЧС РОССИИ"</t>
  </si>
  <si>
    <t>5047011261</t>
  </si>
  <si>
    <t>ФГУП "МОРСВЯЗЬСПУТНИК"</t>
  </si>
  <si>
    <t>7707074779</t>
  </si>
  <si>
    <t>ФГУП "ПРЕЗИДЕНТ-ОТЕЛЬ"</t>
  </si>
  <si>
    <t>7706031317</t>
  </si>
  <si>
    <t>ФГУП "ПРЕЗИДЕНТ-СЕРВИС"</t>
  </si>
  <si>
    <t>7730050504</t>
  </si>
  <si>
    <t>Филиппов Дмитрий Павлович</t>
  </si>
  <si>
    <t>774392762992</t>
  </si>
  <si>
    <t>Целищева Алина Юрьевна</t>
  </si>
  <si>
    <t>500120949115</t>
  </si>
  <si>
    <t>Цеттель Екатерина Юрьевна</t>
  </si>
  <si>
    <t>420543291042</t>
  </si>
  <si>
    <t>Цокало Евгения Анатольевна</t>
  </si>
  <si>
    <t>910905275108</t>
  </si>
  <si>
    <t>Цыганов Игорь Александрович</t>
  </si>
  <si>
    <t>772905105906</t>
  </si>
  <si>
    <t>Черепанов Владислав Владимирович</t>
  </si>
  <si>
    <t>570305101481</t>
  </si>
  <si>
    <t>Чёрная Виктория Валерьевна</t>
  </si>
  <si>
    <t>231530240212</t>
  </si>
  <si>
    <t>Шабунин Сергей Алексеевич</t>
  </si>
  <si>
    <t>615522450317</t>
  </si>
  <si>
    <t>Шелковой Евгений Леонидович</t>
  </si>
  <si>
    <t>583805442971</t>
  </si>
  <si>
    <t>Шитенкова Мария Сергеевна</t>
  </si>
  <si>
    <t>400305178286</t>
  </si>
  <si>
    <t>Шмелев Дмитрий Владимирович</t>
  </si>
  <si>
    <t>773178550348</t>
  </si>
  <si>
    <t>Шорин Александр Александрович</t>
  </si>
  <si>
    <t>616305967452</t>
  </si>
  <si>
    <t>Шпырев Леонид Александрович</t>
  </si>
  <si>
    <t>616204637218</t>
  </si>
  <si>
    <t>Шульгин Дмитрий Андреевич</t>
  </si>
  <si>
    <t>850401162595</t>
  </si>
  <si>
    <t>Шустикова Кристина Алексеевна</t>
  </si>
  <si>
    <t>772083573810</t>
  </si>
  <si>
    <t>Юнтунен Анастасия Михайловна</t>
  </si>
  <si>
    <t>101802136434</t>
  </si>
  <si>
    <t>Юрченков Руслан Константинович</t>
  </si>
  <si>
    <t>623402070041</t>
  </si>
  <si>
    <t>Юрченкова Анастасия Евгеньевна</t>
  </si>
  <si>
    <t>235004315710</t>
  </si>
  <si>
    <t>Якунина Марина Станиславовна</t>
  </si>
  <si>
    <t>911116721413</t>
  </si>
  <si>
    <t>Краткое наименование</t>
  </si>
  <si>
    <t>Ведомство</t>
  </si>
  <si>
    <t>Год</t>
  </si>
  <si>
    <t>Общий объём</t>
  </si>
  <si>
    <t>Планируется</t>
  </si>
  <si>
    <t>Остаток</t>
  </si>
  <si>
    <t>Активна</t>
  </si>
  <si>
    <t>ДНР_2026</t>
  </si>
  <si>
    <t>ЗО_2026</t>
  </si>
  <si>
    <t>КОС_2026</t>
  </si>
  <si>
    <t>ЛНР_2026</t>
  </si>
  <si>
    <t>МинОбр_2026</t>
  </si>
  <si>
    <t>МинПрос_2026</t>
  </si>
  <si>
    <t>ФАДМ_2026</t>
  </si>
  <si>
    <t>ХО_2026</t>
  </si>
  <si>
    <t>Категория</t>
  </si>
  <si>
    <t>Подкатегория_1</t>
  </si>
  <si>
    <t>Подкатегория_2</t>
  </si>
  <si>
    <t>Подкатегория_3</t>
  </si>
  <si>
    <t>Подкатегория_4</t>
  </si>
  <si>
    <t>Подкатегория_5</t>
  </si>
  <si>
    <t>Подкатегория_6</t>
  </si>
  <si>
    <t>Подкатегория_7</t>
  </si>
  <si>
    <t>Подкатегория_8</t>
  </si>
  <si>
    <t>Подкатегория_9</t>
  </si>
  <si>
    <t>Подкатегория_10</t>
  </si>
  <si>
    <t>аывфаывафа</t>
  </si>
  <si>
    <t>фыааф</t>
  </si>
  <si>
    <t>варпава</t>
  </si>
  <si>
    <t>фав</t>
  </si>
  <si>
    <t>вва</t>
  </si>
  <si>
    <t>Закупка рабочих компьютеров с процессором не ниже Intel Core I5</t>
  </si>
  <si>
    <t>Услуга по организации проживания и питания участников и организаторов мероприятия</t>
  </si>
  <si>
    <t>Услуги тренерского состава, сопровождение региональных отделений ВСКС</t>
  </si>
  <si>
    <t>рабочий комбенизон</t>
  </si>
  <si>
    <t>Организация участия ВСКС в различных выставках, форумах, конференциях и подобных мероприятиях в форматах выставочных стендов, образовательных площадок и иных, в том числе в мероприятиях по ликвидации последствий чрезвычайных ситуаций и гуманитарных миссиях</t>
  </si>
  <si>
    <t>Поддержка работы интернет-ресурса организации</t>
  </si>
  <si>
    <t>Оказание услуг по транспортировке сотрудников и добровольцев ВСКС</t>
  </si>
  <si>
    <t>Оказание услуг по проживанию сотрудников и  добровольцев ВСКС</t>
  </si>
  <si>
    <t>Категория для столбца E</t>
  </si>
  <si>
    <t>Бензин</t>
  </si>
  <si>
    <t>Услуга по организации логистики участников и организаторов мероприятия</t>
  </si>
  <si>
    <t>Проживание и питание участников</t>
  </si>
  <si>
    <t>футболка</t>
  </si>
  <si>
    <t>Услуги по доставке</t>
  </si>
  <si>
    <t>Ремонт техники</t>
  </si>
  <si>
    <t>Услуга по брендированию и предоставлению помещений и застройки сцены для проведения внеучебных программ</t>
  </si>
  <si>
    <t>Питание экспертов</t>
  </si>
  <si>
    <t>кепка</t>
  </si>
  <si>
    <t>Приобретение оборудования</t>
  </si>
  <si>
    <t>Организационные расходы на содержание штаба</t>
  </si>
  <si>
    <t>Услуга по организации внеучебной программы</t>
  </si>
  <si>
    <t>Закупка канцелярских принадлежностей</t>
  </si>
  <si>
    <t>куртка</t>
  </si>
  <si>
    <t>Закупка канцелярских принадлежностей (бумага А4 и А3 плотностью 80 и 200 г/м2, ручка синяя, папки А4 и А3, папки-уголки, скрепки, степлеры и скобы и проч.)</t>
  </si>
  <si>
    <t>Услуга по подготовке и техническому обеспечению площадки проведения мероприятия</t>
  </si>
  <si>
    <t>Полиграфические услуги</t>
  </si>
  <si>
    <t>шапка</t>
  </si>
  <si>
    <t>Услуга по предоставлению комплекта участника, организатора</t>
  </si>
  <si>
    <t>комплект летней формы</t>
  </si>
  <si>
    <t>Услуга по доставке</t>
  </si>
  <si>
    <t>кепи</t>
  </si>
  <si>
    <t>Товары для технического оснащения площадок</t>
  </si>
  <si>
    <t>Ветровка</t>
  </si>
  <si>
    <t>Шеврон Круглый</t>
  </si>
  <si>
    <t>Шеврон Щит</t>
  </si>
  <si>
    <t>Шеврон Россия</t>
  </si>
  <si>
    <t>Шеврон именной</t>
  </si>
  <si>
    <t>Шеврон подразделение</t>
  </si>
  <si>
    <t>Нашивка шевронов</t>
  </si>
  <si>
    <t>Дата платежа</t>
  </si>
  <si>
    <t>Номер платежа</t>
  </si>
  <si>
    <t>Сумма</t>
  </si>
  <si>
    <t>Назначение</t>
  </si>
  <si>
    <t>Статус сверки</t>
  </si>
  <si>
    <t>Источник файла</t>
  </si>
  <si>
    <t>Дата загрузки</t>
  </si>
  <si>
    <t>Тип документа</t>
  </si>
  <si>
    <t>Название</t>
  </si>
  <si>
    <t>Номер</t>
  </si>
  <si>
    <t>Дата</t>
  </si>
  <si>
    <t>Ссылка на файл</t>
  </si>
  <si>
    <t>ID файла</t>
  </si>
  <si>
    <t>Дашборд</t>
  </si>
  <si>
    <t>Субсидия</t>
  </si>
  <si>
    <t>Сумма договора</t>
  </si>
  <si>
    <t>Статус</t>
  </si>
  <si>
    <t>Стадия</t>
  </si>
  <si>
    <t>Номер приложения</t>
  </si>
  <si>
    <t>Направление расходов</t>
  </si>
  <si>
    <t>Расчетный объем (тыс. руб)</t>
  </si>
  <si>
    <t>количество чел./дней* плановый средний размер суточных</t>
  </si>
  <si>
    <t>чел*дней</t>
  </si>
  <si>
    <t>кол-во единиц*средняя стоимость</t>
  </si>
  <si>
    <t>количество единиц</t>
  </si>
  <si>
    <t>ФЭО_ID</t>
  </si>
  <si>
    <t>Название приложения</t>
  </si>
  <si>
    <t>Методика расчета</t>
  </si>
  <si>
    <t>Единица измерения</t>
  </si>
  <si>
    <t>Количество единиц</t>
  </si>
  <si>
    <t>Плановая стоимость за единицу</t>
  </si>
  <si>
    <t>Плановый объем расходов</t>
  </si>
  <si>
    <t>Действие</t>
  </si>
  <si>
    <t>Лист ФЭО_База</t>
  </si>
  <si>
    <t>Лист ФЭО_Приложения</t>
  </si>
  <si>
    <t>C:/Users/user/Desktop/Cursor/DOC_REGISTRATION/смета для НАСТИ 2026.xlsx</t>
  </si>
  <si>
    <t>import</t>
  </si>
  <si>
    <t>ФЭО_База_v1</t>
  </si>
  <si>
    <t>ФЭО_Приложения_v1</t>
  </si>
  <si>
    <t>save</t>
  </si>
  <si>
    <t>ФЭО_База_v2</t>
  </si>
  <si>
    <t>ФЭО_Приложения_v2</t>
  </si>
  <si>
    <t>ФАДМ</t>
  </si>
  <si>
    <t>Организация мероприятий</t>
  </si>
  <si>
    <t>Техническое оснащение деятельности штаба</t>
  </si>
  <si>
    <t>Командировочные расходы (суточные)</t>
  </si>
  <si>
    <t>ФЭО_Направление_ID</t>
  </si>
  <si>
    <t>ФЭО_Направление</t>
  </si>
  <si>
    <t>Статья_ID</t>
  </si>
  <si>
    <t>Наименование статьи затрат</t>
  </si>
  <si>
    <t>Разбивка_ID</t>
  </si>
  <si>
    <t>Разбивка_статьи</t>
  </si>
  <si>
    <t>Товар_ID</t>
  </si>
  <si>
    <t>Наименование товара/услуги</t>
  </si>
  <si>
    <t>Техническое описание</t>
  </si>
  <si>
    <t>Группа</t>
  </si>
  <si>
    <t>Направление расходования ФЭО</t>
  </si>
  <si>
    <t>Плановая цена за единицу</t>
  </si>
  <si>
    <t>Статья_Затрат_ID</t>
  </si>
  <si>
    <t>Направление_ID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</si>
</sst>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:mm:ss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204"/>
    </font>
    <font>
      <b/>
      <sz val="16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  <font>
      <b/>
      <sz val="11"/>
      <color rgb="FFFFFFFF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366092"/>
        <bgColor rgb="FF366092"/>
      </patternFill>
    </fill>
    <fill>
      <patternFill patternType="solid">
        <fgColor rgb="FF366092"/>
        <bgColor rgb="FF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/>
    <xf numFmtId="164" fontId="0" fillId="0" borderId="0" xfId="0" applyNumberFormat="1"/>
    <xf numFmtId="165" fontId="0" fillId="0" borderId="0" xfId="0" applyNumberForma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/>
  </cellXfs>
  <cellStyles count="1">
    <cellStyle name="Обычный" xfId="0" builtinId="0"/>
  </cellStyles>
  <dxfs count="6">
    <dxf>
      <fill>
        <patternFill patternType="solid">
          <fgColor rgb="FFFF9900"/>
          <bgColor rgb="FFFF99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CCCCCC"/>
          <bgColor rgb="FFCCCCCC"/>
        </patternFill>
      </fill>
    </dxf>
    <dxf>
      <fill>
        <patternFill patternType="solid">
          <fgColor rgb="FF6AA84F"/>
          <bgColor rgb="FF6AA84F"/>
        </patternFill>
      </fill>
    </dxf>
    <dxf>
      <fill>
        <patternFill patternType="solid">
          <fgColor rgb="FF4A86E8"/>
          <bgColor rgb="FF4A86E8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4"/>
  <sheetViews>
    <sheetView workbookViewId="0">
      <pane ySplit="1" topLeftCell="A2" activePane="bottomLeft" state="frozen"/>
      <selection pane="bottomLeft" activeCell="AF15" sqref="AF15"/>
    </sheetView>
  </sheetViews>
  <sheetFormatPr defaultRowHeight="14.5" x14ac:dyDescent="0.35"/>
  <cols>
    <col min="1" max="1" width="7.1796875" customWidth="1"/>
    <col min="2" max="2" width="17.1796875" customWidth="1"/>
    <col min="3" max="3" width="14.26953125" customWidth="1"/>
    <col min="4" max="4" width="17.1796875" customWidth="1"/>
    <col min="5" max="5" width="14.26953125" customWidth="1"/>
    <col min="6" max="6" width="11.453125" customWidth="1"/>
    <col min="7" max="8" width="17.1796875" customWidth="1"/>
    <col min="9" max="9" width="28.54296875" customWidth="1"/>
    <col min="10" max="10" width="42.81640625" customWidth="1"/>
    <col min="11" max="11" width="11.453125" customWidth="1"/>
    <col min="12" max="13" width="17.1796875" customWidth="1"/>
    <col min="14" max="14" width="21.453125" customWidth="1"/>
    <col min="15" max="16" width="14.26953125" customWidth="1"/>
    <col min="17" max="17" width="11.453125" customWidth="1"/>
    <col min="18" max="19" width="17.1796875" customWidth="1"/>
    <col min="20" max="20" width="14.26953125" customWidth="1"/>
    <col min="21" max="21" width="17.1796875" customWidth="1"/>
    <col min="22" max="23" width="14.26953125" customWidth="1"/>
    <col min="24" max="28" width="17.1796875" customWidth="1"/>
    <col min="29" max="29" width="14.26953125" customWidth="1"/>
    <col min="30" max="30" width="11.453125" customWidth="1"/>
    <col min="31" max="32" width="17.1796875" customWidth="1"/>
    <col min="33" max="34" width="14.26953125" customWidth="1"/>
    <col min="35" max="38" width="28.54296875" customWidth="1"/>
    <col min="39" max="39" width="21.453125" customWidth="1"/>
    <col min="40" max="40" width="14.26953125" customWidth="1"/>
    <col min="41" max="41" width="42.81640625" customWidth="1"/>
    <col min="42" max="43" width="17.1796875" customWidth="1"/>
    <col min="44" max="45" width="21.453125" customWidth="1"/>
  </cols>
  <sheetData>
    <row r="1" spans="1:45" ht="29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 x14ac:dyDescent="0.35">
      <c r="U2">
        <f>S2+T2</f>
        <v>0</v>
      </c>
      <c r="V2">
        <f>R2-U2</f>
        <v>0</v>
      </c>
      <c r="AA2">
        <f>U2-Z2</f>
        <v>0</v>
      </c>
    </row>
    <row r="3" spans="1:45" x14ac:dyDescent="0.35">
      <c r="A3">
        <v>1</v>
      </c>
      <c r="B3" t="s">
        <v>45</v>
      </c>
      <c r="C3" s="3">
        <v>45985</v>
      </c>
      <c r="D3" t="s">
        <v>46</v>
      </c>
      <c r="E3" t="s">
        <v>47</v>
      </c>
      <c r="G3" t="s">
        <v>48</v>
      </c>
      <c r="H3" t="s">
        <v>49</v>
      </c>
      <c r="I3" t="s">
        <v>50</v>
      </c>
      <c r="J3" t="s">
        <v>51</v>
      </c>
      <c r="L3" t="s">
        <v>52</v>
      </c>
      <c r="O3" s="3">
        <v>45985</v>
      </c>
      <c r="P3" s="3">
        <v>46015</v>
      </c>
      <c r="R3">
        <v>0</v>
      </c>
      <c r="S3">
        <v>0</v>
      </c>
      <c r="U3">
        <f>S3+T3</f>
        <v>0</v>
      </c>
      <c r="V3">
        <f>R3-U3</f>
        <v>0</v>
      </c>
      <c r="AA3">
        <f>U3-Z3</f>
        <v>0</v>
      </c>
      <c r="AC3" t="s">
        <v>53</v>
      </c>
      <c r="AD3">
        <v>20</v>
      </c>
      <c r="AG3">
        <v>0</v>
      </c>
      <c r="AH3">
        <v>0</v>
      </c>
      <c r="AP3" s="4">
        <v>45985.777149259258</v>
      </c>
      <c r="AQ3" s="4">
        <v>45985.777149259258</v>
      </c>
      <c r="AR3" t="s">
        <v>54</v>
      </c>
    </row>
    <row r="4" spans="1:45" x14ac:dyDescent="0.35">
      <c r="A4">
        <v>2</v>
      </c>
      <c r="B4" t="s">
        <v>45</v>
      </c>
      <c r="C4" s="3">
        <v>45985</v>
      </c>
      <c r="D4" t="s">
        <v>46</v>
      </c>
      <c r="E4" t="s">
        <v>55</v>
      </c>
      <c r="F4">
        <v>1</v>
      </c>
      <c r="G4">
        <v>1</v>
      </c>
      <c r="H4">
        <v>1</v>
      </c>
      <c r="I4" t="s">
        <v>50</v>
      </c>
      <c r="J4" t="s">
        <v>51</v>
      </c>
      <c r="K4">
        <v>1</v>
      </c>
      <c r="L4" t="s">
        <v>52</v>
      </c>
      <c r="M4">
        <v>1</v>
      </c>
      <c r="N4">
        <v>1</v>
      </c>
      <c r="O4" s="3">
        <v>47448</v>
      </c>
      <c r="P4" s="3">
        <v>44554</v>
      </c>
      <c r="Q4">
        <v>1</v>
      </c>
      <c r="R4">
        <v>5</v>
      </c>
      <c r="S4">
        <v>165000</v>
      </c>
      <c r="T4">
        <v>1</v>
      </c>
      <c r="U4">
        <f>S4+T4</f>
        <v>165001</v>
      </c>
      <c r="V4">
        <f>R4-U4</f>
        <v>-164996</v>
      </c>
      <c r="W4">
        <v>1</v>
      </c>
      <c r="AA4">
        <f>U4-Z4</f>
        <v>165001</v>
      </c>
      <c r="AC4" t="s">
        <v>56</v>
      </c>
      <c r="AD4">
        <v>10</v>
      </c>
      <c r="AE4" t="s">
        <v>57</v>
      </c>
      <c r="AF4" t="s">
        <v>58</v>
      </c>
      <c r="AG4">
        <v>0</v>
      </c>
      <c r="AH4">
        <v>0</v>
      </c>
      <c r="AP4" s="4">
        <v>45985.778290729169</v>
      </c>
      <c r="AQ4" s="4">
        <v>45985.778290729169</v>
      </c>
      <c r="AR4" t="s">
        <v>54</v>
      </c>
    </row>
  </sheetData>
  <conditionalFormatting sqref="L2:L10000">
    <cfRule type="cellIs" dxfId="5" priority="1" operator="equal">
      <formula>"Плановый"</formula>
    </cfRule>
    <cfRule type="cellIs" dxfId="4" priority="2" operator="equal">
      <formula>"Подтвержденный"</formula>
    </cfRule>
    <cfRule type="cellIs" dxfId="3" priority="3" operator="equal">
      <formula>"Ведутся работы"</formula>
    </cfRule>
    <cfRule type="cellIs" dxfId="2" priority="4" operator="equal">
      <formula>"Исполнен"</formula>
    </cfRule>
    <cfRule type="cellIs" dxfId="1" priority="5" operator="equal">
      <formula>"Расторгнут"</formula>
    </cfRule>
    <cfRule type="cellIs" dxfId="0" priority="6" operator="equal">
      <formula>"Просрочен"</formula>
    </cfRule>
  </conditionalFormatting>
  <dataValidations count="7">
    <dataValidation type="list" allowBlank="1" sqref="D2:D10000" xr:uid="{00000000-0002-0000-0000-000000000000}">
      <formula1>"Поставка,Услуги,ГПХ,Ремонт ТС"</formula1>
    </dataValidation>
    <dataValidation type="list" allowBlank="1" sqref="E2:E10000" xr:uid="{00000000-0002-0000-0000-000001000000}">
      <formula1>"Разовый,Рамочный"</formula1>
    </dataValidation>
    <dataValidation type="list" allowBlank="1" sqref="L2:L10000" xr:uid="{00000000-0002-0000-0000-000002000000}">
      <formula1>"Плановый,Подтвержденный,Ведутся работы,Исполнен,Расторгнут,Просрочен"</formula1>
    </dataValidation>
    <dataValidation type="list" allowBlank="1" sqref="M2:M10000" xr:uid="{00000000-0002-0000-0000-000003000000}">
      <formula1>"Плановый,Подтвержденный,Ведутся работы"</formula1>
    </dataValidation>
    <dataValidation type="list" allowBlank="1" sqref="AC2:AC10000" xr:uid="{00000000-0002-0000-0000-000004000000}">
      <formula1>"Да,Нет"</formula1>
    </dataValidation>
    <dataValidation type="list" allowBlank="1" sqref="AE2:AE10000" xr:uid="{00000000-0002-0000-0000-000005000000}">
      <formula1>"Безналичный,Наличный"</formula1>
    </dataValidation>
    <dataValidation type="list" allowBlank="1" sqref="AF2:AF10000" xr:uid="{00000000-0002-0000-0000-000006000000}">
      <formula1>"Предоплата,Постоплата,Поэтапная"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25" ht="58" customHeight="1" x14ac:dyDescent="0.35">
      <c r="A1" s="1" t="s">
        <v>0</v>
      </c>
      <c r="B1" s="1" t="s">
        <v>59</v>
      </c>
      <c r="C1" s="1" t="s">
        <v>60</v>
      </c>
      <c r="D1" s="1" t="s">
        <v>61</v>
      </c>
      <c r="E1" s="1" t="s">
        <v>62</v>
      </c>
      <c r="F1" s="1" t="s">
        <v>63</v>
      </c>
      <c r="G1" s="1" t="s">
        <v>64</v>
      </c>
      <c r="H1" s="1" t="s">
        <v>65</v>
      </c>
      <c r="I1" s="1" t="s">
        <v>66</v>
      </c>
      <c r="J1" s="1" t="s">
        <v>67</v>
      </c>
      <c r="K1" s="1" t="s">
        <v>68</v>
      </c>
      <c r="L1" s="1" t="s">
        <v>19</v>
      </c>
      <c r="M1" s="1" t="s">
        <v>69</v>
      </c>
      <c r="N1" s="1" t="s">
        <v>70</v>
      </c>
      <c r="O1" s="1" t="s">
        <v>25</v>
      </c>
      <c r="P1" s="1" t="s">
        <v>71</v>
      </c>
      <c r="Q1" s="1" t="s">
        <v>72</v>
      </c>
      <c r="R1" s="1" t="s">
        <v>73</v>
      </c>
      <c r="S1" s="1" t="s">
        <v>74</v>
      </c>
      <c r="T1" s="1" t="s">
        <v>75</v>
      </c>
      <c r="U1" s="1" t="s">
        <v>34</v>
      </c>
      <c r="V1" s="1" t="s">
        <v>35</v>
      </c>
      <c r="W1" s="1" t="s">
        <v>36</v>
      </c>
      <c r="X1" s="1" t="s">
        <v>37</v>
      </c>
      <c r="Y1" s="1" t="s">
        <v>40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G394"/>
  <sheetViews>
    <sheetView workbookViewId="0">
      <pane ySplit="1" topLeftCell="A140" activePane="bottomLeft" state="frozen"/>
      <selection pane="bottomLeft" activeCell="F3" sqref="F3"/>
    </sheetView>
  </sheetViews>
  <sheetFormatPr defaultRowHeight="14.5" x14ac:dyDescent="0.35"/>
  <cols>
    <col min="2" max="2" width="34.36328125" customWidth="1"/>
    <col min="3" max="3" width="23.90625" customWidth="1"/>
    <col min="31" max="31" width="25.6328125" customWidth="1"/>
    <col min="32" max="32" width="32.08984375" customWidth="1"/>
    <col min="33" max="33" width="20.1796875" customWidth="1"/>
  </cols>
  <sheetData>
    <row r="1" spans="1:33" ht="58" customHeight="1" x14ac:dyDescent="0.35">
      <c r="A1" s="1" t="s">
        <v>0</v>
      </c>
      <c r="B1" s="1" t="s">
        <v>76</v>
      </c>
      <c r="C1" s="1" t="s">
        <v>77</v>
      </c>
      <c r="D1" s="1" t="s">
        <v>78</v>
      </c>
      <c r="E1" s="1" t="s">
        <v>79</v>
      </c>
      <c r="F1" s="1" t="s">
        <v>80</v>
      </c>
      <c r="G1" s="1" t="s">
        <v>81</v>
      </c>
      <c r="H1" s="1" t="s">
        <v>82</v>
      </c>
      <c r="I1" s="1" t="s">
        <v>83</v>
      </c>
      <c r="J1" s="1" t="s">
        <v>84</v>
      </c>
      <c r="K1" s="1" t="s">
        <v>85</v>
      </c>
      <c r="L1" s="1" t="s">
        <v>86</v>
      </c>
      <c r="M1" s="1" t="s">
        <v>87</v>
      </c>
      <c r="N1" s="1" t="s">
        <v>88</v>
      </c>
      <c r="O1" s="1" t="s">
        <v>89</v>
      </c>
      <c r="P1" s="1" t="s">
        <v>90</v>
      </c>
      <c r="Q1" s="1" t="s">
        <v>91</v>
      </c>
      <c r="R1" s="1" t="s">
        <v>92</v>
      </c>
      <c r="S1" s="1" t="s">
        <v>93</v>
      </c>
      <c r="T1" s="1" t="s">
        <v>94</v>
      </c>
      <c r="U1" s="1" t="s">
        <v>95</v>
      </c>
      <c r="V1" s="1" t="s">
        <v>96</v>
      </c>
      <c r="W1" s="1" t="s">
        <v>97</v>
      </c>
      <c r="X1" s="1" t="s">
        <v>98</v>
      </c>
      <c r="Y1" s="1" t="s">
        <v>99</v>
      </c>
      <c r="Z1" s="1" t="s">
        <v>100</v>
      </c>
      <c r="AA1" s="1" t="s">
        <v>101</v>
      </c>
      <c r="AB1" s="1" t="s">
        <v>102</v>
      </c>
      <c r="AC1" s="1" t="s">
        <v>103</v>
      </c>
      <c r="AD1" s="1" t="s">
        <v>104</v>
      </c>
      <c r="AE1" s="1" t="s">
        <v>41</v>
      </c>
      <c r="AF1" s="1" t="s">
        <v>42</v>
      </c>
      <c r="AG1" s="1" t="s">
        <v>105</v>
      </c>
    </row>
    <row r="2" spans="1:33" x14ac:dyDescent="0.35">
      <c r="A2">
        <v>1</v>
      </c>
      <c r="B2" t="s">
        <v>106</v>
      </c>
      <c r="C2" t="s">
        <v>106</v>
      </c>
      <c r="R2" t="s">
        <v>107</v>
      </c>
      <c r="AE2" s="4">
        <v>45985.79838990741</v>
      </c>
      <c r="AF2" s="4">
        <v>45985.79838990741</v>
      </c>
      <c r="AG2" t="s">
        <v>56</v>
      </c>
    </row>
    <row r="3" spans="1:33" x14ac:dyDescent="0.35">
      <c r="A3">
        <v>2</v>
      </c>
      <c r="B3" t="s">
        <v>108</v>
      </c>
      <c r="C3" t="s">
        <v>108</v>
      </c>
      <c r="D3" t="s">
        <v>108</v>
      </c>
      <c r="E3" t="s">
        <v>109</v>
      </c>
      <c r="R3" t="s">
        <v>110</v>
      </c>
      <c r="AE3" s="4">
        <v>45985.798387465278</v>
      </c>
      <c r="AF3" s="4">
        <v>45985.798388090283</v>
      </c>
      <c r="AG3" t="s">
        <v>56</v>
      </c>
    </row>
    <row r="4" spans="1:33" x14ac:dyDescent="0.35">
      <c r="A4">
        <v>3</v>
      </c>
      <c r="B4" t="s">
        <v>111</v>
      </c>
      <c r="C4" t="s">
        <v>111</v>
      </c>
      <c r="AE4" s="4">
        <v>45985.798389618052</v>
      </c>
      <c r="AF4" s="4">
        <v>45985.798389618052</v>
      </c>
      <c r="AG4" t="s">
        <v>56</v>
      </c>
    </row>
    <row r="5" spans="1:33" x14ac:dyDescent="0.35">
      <c r="A5">
        <v>4</v>
      </c>
      <c r="B5" t="s">
        <v>112</v>
      </c>
      <c r="C5" t="s">
        <v>112</v>
      </c>
      <c r="D5" t="s">
        <v>113</v>
      </c>
      <c r="E5" t="s">
        <v>111</v>
      </c>
      <c r="R5" t="s">
        <v>114</v>
      </c>
      <c r="AE5" s="4">
        <v>45985.79838857639</v>
      </c>
      <c r="AF5" s="4">
        <v>45985.798389849537</v>
      </c>
      <c r="AG5" t="s">
        <v>56</v>
      </c>
    </row>
    <row r="6" spans="1:33" x14ac:dyDescent="0.35">
      <c r="A6">
        <v>5</v>
      </c>
      <c r="B6" t="s">
        <v>115</v>
      </c>
      <c r="C6" t="s">
        <v>115</v>
      </c>
      <c r="D6" t="s">
        <v>115</v>
      </c>
      <c r="E6" t="s">
        <v>106</v>
      </c>
      <c r="R6" t="s">
        <v>107</v>
      </c>
      <c r="AE6" s="4">
        <v>45985.798387719908</v>
      </c>
      <c r="AF6" s="4">
        <v>45985.798388136573</v>
      </c>
      <c r="AG6" t="s">
        <v>56</v>
      </c>
    </row>
    <row r="7" spans="1:33" x14ac:dyDescent="0.35">
      <c r="A7">
        <v>6</v>
      </c>
      <c r="B7" t="s">
        <v>116</v>
      </c>
      <c r="C7" t="s">
        <v>116</v>
      </c>
      <c r="D7" t="s">
        <v>116</v>
      </c>
      <c r="R7" t="s">
        <v>107</v>
      </c>
      <c r="AE7" s="4">
        <v>45985.798388113428</v>
      </c>
      <c r="AF7" s="4">
        <v>45985.798388113428</v>
      </c>
      <c r="AG7" t="s">
        <v>56</v>
      </c>
    </row>
    <row r="8" spans="1:33" x14ac:dyDescent="0.35">
      <c r="A8">
        <v>7</v>
      </c>
      <c r="B8" t="s">
        <v>117</v>
      </c>
      <c r="C8" t="s">
        <v>117</v>
      </c>
      <c r="D8" t="s">
        <v>117</v>
      </c>
      <c r="R8" t="s">
        <v>107</v>
      </c>
      <c r="AE8" s="4">
        <v>45985.798388124997</v>
      </c>
      <c r="AF8" s="4">
        <v>45985.798388124997</v>
      </c>
      <c r="AG8" t="s">
        <v>56</v>
      </c>
    </row>
    <row r="9" spans="1:33" x14ac:dyDescent="0.35">
      <c r="A9">
        <v>8</v>
      </c>
      <c r="B9" t="s">
        <v>118</v>
      </c>
      <c r="C9" t="s">
        <v>118</v>
      </c>
      <c r="D9" t="s">
        <v>118</v>
      </c>
      <c r="E9" t="s">
        <v>119</v>
      </c>
      <c r="R9" t="s">
        <v>107</v>
      </c>
      <c r="AE9" s="4">
        <v>45985.798387442133</v>
      </c>
      <c r="AF9" s="4">
        <v>45985.798388101852</v>
      </c>
      <c r="AG9" t="s">
        <v>56</v>
      </c>
    </row>
    <row r="10" spans="1:33" x14ac:dyDescent="0.35">
      <c r="A10">
        <v>9</v>
      </c>
      <c r="B10" t="s">
        <v>120</v>
      </c>
      <c r="C10" t="s">
        <v>120</v>
      </c>
      <c r="D10" t="s">
        <v>120</v>
      </c>
      <c r="E10" t="s">
        <v>121</v>
      </c>
      <c r="R10" t="s">
        <v>122</v>
      </c>
      <c r="AE10" s="4">
        <v>45985.798387581017</v>
      </c>
      <c r="AF10" s="4">
        <v>45985.798388090283</v>
      </c>
      <c r="AG10" t="s">
        <v>56</v>
      </c>
    </row>
    <row r="11" spans="1:33" x14ac:dyDescent="0.35">
      <c r="A11">
        <v>10</v>
      </c>
      <c r="B11" t="s">
        <v>123</v>
      </c>
      <c r="C11" t="s">
        <v>123</v>
      </c>
      <c r="D11" t="s">
        <v>123</v>
      </c>
      <c r="R11" t="s">
        <v>107</v>
      </c>
      <c r="AE11" s="4">
        <v>45985.798388101852</v>
      </c>
      <c r="AF11" s="4">
        <v>45985.798388101852</v>
      </c>
      <c r="AG11" t="s">
        <v>56</v>
      </c>
    </row>
    <row r="12" spans="1:33" x14ac:dyDescent="0.35">
      <c r="A12">
        <v>11</v>
      </c>
      <c r="B12" t="s">
        <v>124</v>
      </c>
      <c r="C12" t="s">
        <v>124</v>
      </c>
      <c r="D12" t="s">
        <v>124</v>
      </c>
      <c r="E12" t="s">
        <v>125</v>
      </c>
      <c r="R12" t="s">
        <v>107</v>
      </c>
      <c r="AE12" s="4">
        <v>45985.798387511582</v>
      </c>
      <c r="AF12" s="4">
        <v>45985.798388136573</v>
      </c>
      <c r="AG12" t="s">
        <v>56</v>
      </c>
    </row>
    <row r="13" spans="1:33" x14ac:dyDescent="0.35">
      <c r="A13">
        <v>12</v>
      </c>
      <c r="B13" t="s">
        <v>126</v>
      </c>
      <c r="C13" t="s">
        <v>126</v>
      </c>
      <c r="D13" t="s">
        <v>126</v>
      </c>
      <c r="E13" t="s">
        <v>125</v>
      </c>
      <c r="R13" t="s">
        <v>107</v>
      </c>
      <c r="AE13" s="4">
        <v>45985.798387615738</v>
      </c>
      <c r="AF13" s="4">
        <v>45985.798388113428</v>
      </c>
      <c r="AG13" t="s">
        <v>56</v>
      </c>
    </row>
    <row r="14" spans="1:33" x14ac:dyDescent="0.35">
      <c r="A14">
        <v>13</v>
      </c>
      <c r="B14" t="s">
        <v>127</v>
      </c>
      <c r="C14" t="s">
        <v>127</v>
      </c>
      <c r="D14" t="s">
        <v>127</v>
      </c>
      <c r="E14" t="s">
        <v>128</v>
      </c>
      <c r="R14" t="s">
        <v>122</v>
      </c>
      <c r="AE14" s="4">
        <v>45985.798387268522</v>
      </c>
      <c r="AF14" s="4">
        <v>45985.798388101852</v>
      </c>
      <c r="AG14" t="s">
        <v>56</v>
      </c>
    </row>
    <row r="15" spans="1:33" x14ac:dyDescent="0.35">
      <c r="A15">
        <v>14</v>
      </c>
      <c r="B15" t="s">
        <v>129</v>
      </c>
      <c r="C15" t="s">
        <v>129</v>
      </c>
      <c r="R15" t="s">
        <v>122</v>
      </c>
      <c r="AE15" s="4">
        <v>45985.798388437499</v>
      </c>
      <c r="AF15" s="4">
        <v>45985.798388437499</v>
      </c>
      <c r="AG15" t="s">
        <v>56</v>
      </c>
    </row>
    <row r="16" spans="1:33" x14ac:dyDescent="0.35">
      <c r="A16">
        <v>15</v>
      </c>
      <c r="B16" t="s">
        <v>130</v>
      </c>
      <c r="C16" t="s">
        <v>130</v>
      </c>
      <c r="R16" t="s">
        <v>122</v>
      </c>
      <c r="AE16" s="4">
        <v>45985.798388449068</v>
      </c>
      <c r="AF16" s="4">
        <v>45985.798388449068</v>
      </c>
      <c r="AG16" t="s">
        <v>56</v>
      </c>
    </row>
    <row r="17" spans="1:33" x14ac:dyDescent="0.35">
      <c r="A17">
        <v>16</v>
      </c>
      <c r="B17" t="s">
        <v>131</v>
      </c>
      <c r="C17" t="s">
        <v>131</v>
      </c>
      <c r="R17" t="s">
        <v>122</v>
      </c>
      <c r="AE17" s="4">
        <v>45985.798388449068</v>
      </c>
      <c r="AF17" s="4">
        <v>45985.798388449068</v>
      </c>
      <c r="AG17" t="s">
        <v>56</v>
      </c>
    </row>
    <row r="18" spans="1:33" x14ac:dyDescent="0.35">
      <c r="A18">
        <v>17</v>
      </c>
      <c r="B18" t="s">
        <v>132</v>
      </c>
      <c r="C18" t="s">
        <v>132</v>
      </c>
      <c r="D18" t="s">
        <v>133</v>
      </c>
      <c r="E18" t="s">
        <v>106</v>
      </c>
      <c r="R18" t="s">
        <v>107</v>
      </c>
      <c r="AE18" s="4">
        <v>45985.798388171293</v>
      </c>
      <c r="AF18" s="4">
        <v>45985.798389791657</v>
      </c>
      <c r="AG18" t="s">
        <v>56</v>
      </c>
    </row>
    <row r="19" spans="1:33" x14ac:dyDescent="0.35">
      <c r="A19">
        <v>18</v>
      </c>
      <c r="B19" t="s">
        <v>134</v>
      </c>
      <c r="C19" t="s">
        <v>134</v>
      </c>
      <c r="D19" t="s">
        <v>135</v>
      </c>
      <c r="E19" t="s">
        <v>136</v>
      </c>
      <c r="R19" t="s">
        <v>107</v>
      </c>
      <c r="AE19" s="4">
        <v>45985.798387326387</v>
      </c>
      <c r="AF19" s="4">
        <v>45985.798388275463</v>
      </c>
      <c r="AG19" t="s">
        <v>56</v>
      </c>
    </row>
    <row r="20" spans="1:33" x14ac:dyDescent="0.35">
      <c r="A20">
        <v>19</v>
      </c>
      <c r="B20" t="s">
        <v>137</v>
      </c>
      <c r="C20" t="s">
        <v>137</v>
      </c>
      <c r="D20" t="s">
        <v>138</v>
      </c>
      <c r="E20" t="s">
        <v>106</v>
      </c>
      <c r="R20" t="s">
        <v>107</v>
      </c>
      <c r="AE20" s="4">
        <v>45985.798387650473</v>
      </c>
      <c r="AF20" s="4">
        <v>45985.798389895826</v>
      </c>
      <c r="AG20" t="s">
        <v>56</v>
      </c>
    </row>
    <row r="21" spans="1:33" x14ac:dyDescent="0.35">
      <c r="A21">
        <v>20</v>
      </c>
      <c r="B21" t="s">
        <v>139</v>
      </c>
      <c r="C21" t="s">
        <v>139</v>
      </c>
      <c r="D21" t="s">
        <v>140</v>
      </c>
      <c r="E21" t="s">
        <v>106</v>
      </c>
      <c r="R21" t="s">
        <v>122</v>
      </c>
      <c r="AE21" s="4">
        <v>45985.798389189818</v>
      </c>
      <c r="AF21" s="4">
        <v>45985.798389710653</v>
      </c>
      <c r="AG21" t="s">
        <v>56</v>
      </c>
    </row>
    <row r="22" spans="1:33" x14ac:dyDescent="0.35">
      <c r="A22">
        <v>21</v>
      </c>
      <c r="B22" t="s">
        <v>141</v>
      </c>
      <c r="C22" t="s">
        <v>141</v>
      </c>
      <c r="D22" t="s">
        <v>142</v>
      </c>
      <c r="E22" t="s">
        <v>106</v>
      </c>
      <c r="R22" t="s">
        <v>107</v>
      </c>
      <c r="AE22" s="4">
        <v>45985.798389189818</v>
      </c>
      <c r="AF22" s="4">
        <v>45985.798389710653</v>
      </c>
      <c r="AG22" t="s">
        <v>56</v>
      </c>
    </row>
    <row r="23" spans="1:33" x14ac:dyDescent="0.35">
      <c r="A23">
        <v>22</v>
      </c>
      <c r="B23" t="s">
        <v>143</v>
      </c>
      <c r="C23" t="s">
        <v>143</v>
      </c>
      <c r="D23" t="s">
        <v>144</v>
      </c>
      <c r="E23" t="s">
        <v>106</v>
      </c>
      <c r="R23" t="s">
        <v>107</v>
      </c>
      <c r="AE23" s="4">
        <v>45985.798387476847</v>
      </c>
      <c r="AF23" s="4">
        <v>45985.798390069453</v>
      </c>
      <c r="AG23" t="s">
        <v>56</v>
      </c>
    </row>
    <row r="24" spans="1:33" x14ac:dyDescent="0.35">
      <c r="A24">
        <v>23</v>
      </c>
      <c r="B24" t="s">
        <v>145</v>
      </c>
      <c r="C24" t="s">
        <v>145</v>
      </c>
      <c r="D24" t="s">
        <v>146</v>
      </c>
      <c r="E24" t="s">
        <v>147</v>
      </c>
      <c r="R24" t="s">
        <v>107</v>
      </c>
      <c r="AE24" s="4">
        <v>45985.798389016207</v>
      </c>
      <c r="AF24" s="4">
        <v>45985.798389745367</v>
      </c>
      <c r="AG24" t="s">
        <v>56</v>
      </c>
    </row>
    <row r="25" spans="1:33" x14ac:dyDescent="0.35">
      <c r="A25">
        <v>24</v>
      </c>
      <c r="B25" t="s">
        <v>148</v>
      </c>
      <c r="C25" t="s">
        <v>148</v>
      </c>
      <c r="D25" t="s">
        <v>149</v>
      </c>
      <c r="E25" t="s">
        <v>150</v>
      </c>
      <c r="AE25" s="4">
        <v>45985.798389201387</v>
      </c>
      <c r="AF25" s="4">
        <v>45985.798389699077</v>
      </c>
      <c r="AG25" t="s">
        <v>56</v>
      </c>
    </row>
    <row r="26" spans="1:33" x14ac:dyDescent="0.35">
      <c r="A26">
        <v>25</v>
      </c>
      <c r="B26" t="s">
        <v>151</v>
      </c>
      <c r="C26" t="s">
        <v>151</v>
      </c>
      <c r="D26" t="s">
        <v>152</v>
      </c>
      <c r="E26" t="s">
        <v>136</v>
      </c>
      <c r="R26" t="s">
        <v>107</v>
      </c>
      <c r="AE26" s="4">
        <v>45985.798387430557</v>
      </c>
      <c r="AF26" s="4">
        <v>45985.798388240742</v>
      </c>
      <c r="AG26" t="s">
        <v>56</v>
      </c>
    </row>
    <row r="27" spans="1:33" x14ac:dyDescent="0.35">
      <c r="A27">
        <v>26</v>
      </c>
      <c r="B27" t="s">
        <v>153</v>
      </c>
      <c r="C27" t="s">
        <v>153</v>
      </c>
      <c r="D27" t="s">
        <v>154</v>
      </c>
      <c r="E27" t="s">
        <v>155</v>
      </c>
      <c r="R27" t="s">
        <v>107</v>
      </c>
      <c r="AE27" s="4">
        <v>45985.798387499999</v>
      </c>
      <c r="AF27" s="4">
        <v>45985.798387499999</v>
      </c>
      <c r="AG27" t="s">
        <v>56</v>
      </c>
    </row>
    <row r="28" spans="1:33" x14ac:dyDescent="0.35">
      <c r="A28">
        <v>27</v>
      </c>
      <c r="B28" t="s">
        <v>156</v>
      </c>
      <c r="C28" t="s">
        <v>156</v>
      </c>
      <c r="D28" t="s">
        <v>157</v>
      </c>
      <c r="R28" t="s">
        <v>107</v>
      </c>
      <c r="AE28" s="4">
        <v>45985.798389930547</v>
      </c>
      <c r="AF28" s="4">
        <v>45985.798389930547</v>
      </c>
      <c r="AG28" t="s">
        <v>56</v>
      </c>
    </row>
    <row r="29" spans="1:33" x14ac:dyDescent="0.35">
      <c r="A29">
        <v>28</v>
      </c>
      <c r="B29" t="s">
        <v>158</v>
      </c>
      <c r="C29" t="s">
        <v>158</v>
      </c>
      <c r="D29" t="s">
        <v>159</v>
      </c>
      <c r="E29" t="s">
        <v>160</v>
      </c>
      <c r="R29" t="s">
        <v>122</v>
      </c>
      <c r="AE29" s="4">
        <v>45985.798387476847</v>
      </c>
      <c r="AF29" s="4">
        <v>45985.79838803241</v>
      </c>
      <c r="AG29" t="s">
        <v>56</v>
      </c>
    </row>
    <row r="30" spans="1:33" x14ac:dyDescent="0.35">
      <c r="A30">
        <v>29</v>
      </c>
      <c r="B30" t="s">
        <v>161</v>
      </c>
      <c r="C30" t="s">
        <v>161</v>
      </c>
      <c r="D30" t="s">
        <v>162</v>
      </c>
      <c r="E30" t="s">
        <v>163</v>
      </c>
      <c r="R30" t="s">
        <v>122</v>
      </c>
      <c r="AE30" s="4">
        <v>45985.798387268522</v>
      </c>
      <c r="AF30" s="4">
        <v>45985.798387858798</v>
      </c>
      <c r="AG30" t="s">
        <v>56</v>
      </c>
    </row>
    <row r="31" spans="1:33" x14ac:dyDescent="0.35">
      <c r="A31">
        <v>30</v>
      </c>
      <c r="B31" t="s">
        <v>164</v>
      </c>
      <c r="C31" t="s">
        <v>164</v>
      </c>
      <c r="D31" t="s">
        <v>165</v>
      </c>
      <c r="E31" t="s">
        <v>166</v>
      </c>
      <c r="R31" t="s">
        <v>107</v>
      </c>
      <c r="AE31" s="4">
        <v>45985.798389247677</v>
      </c>
      <c r="AF31" s="4">
        <v>45985.798389699077</v>
      </c>
      <c r="AG31" t="s">
        <v>56</v>
      </c>
    </row>
    <row r="32" spans="1:33" x14ac:dyDescent="0.35">
      <c r="A32">
        <v>31</v>
      </c>
      <c r="B32" t="s">
        <v>167</v>
      </c>
      <c r="C32" t="s">
        <v>167</v>
      </c>
      <c r="D32" t="s">
        <v>168</v>
      </c>
      <c r="E32" t="s">
        <v>169</v>
      </c>
      <c r="R32" t="s">
        <v>122</v>
      </c>
      <c r="AE32" s="4">
        <v>45985.798387465278</v>
      </c>
      <c r="AF32" s="4">
        <v>45985.798387951392</v>
      </c>
      <c r="AG32" t="s">
        <v>56</v>
      </c>
    </row>
    <row r="33" spans="1:33" x14ac:dyDescent="0.35">
      <c r="A33">
        <v>32</v>
      </c>
      <c r="B33" t="s">
        <v>170</v>
      </c>
      <c r="C33" t="s">
        <v>170</v>
      </c>
      <c r="D33" t="s">
        <v>171</v>
      </c>
      <c r="E33" t="s">
        <v>106</v>
      </c>
      <c r="R33" t="s">
        <v>107</v>
      </c>
      <c r="AE33" s="4">
        <v>45985.798388703697</v>
      </c>
      <c r="AF33" s="4">
        <v>45985.798389780102</v>
      </c>
      <c r="AG33" t="s">
        <v>56</v>
      </c>
    </row>
    <row r="34" spans="1:33" x14ac:dyDescent="0.35">
      <c r="A34">
        <v>33</v>
      </c>
      <c r="B34" t="s">
        <v>172</v>
      </c>
      <c r="C34" t="s">
        <v>172</v>
      </c>
      <c r="D34" t="s">
        <v>173</v>
      </c>
      <c r="E34" t="s">
        <v>106</v>
      </c>
      <c r="R34" t="s">
        <v>107</v>
      </c>
      <c r="AE34" s="4">
        <v>45985.798389247677</v>
      </c>
      <c r="AF34" s="4">
        <v>45985.798389699077</v>
      </c>
      <c r="AG34" t="s">
        <v>56</v>
      </c>
    </row>
    <row r="35" spans="1:33" x14ac:dyDescent="0.35">
      <c r="A35">
        <v>34</v>
      </c>
      <c r="B35" t="s">
        <v>174</v>
      </c>
      <c r="C35" t="s">
        <v>174</v>
      </c>
      <c r="D35" t="s">
        <v>175</v>
      </c>
      <c r="E35" t="s">
        <v>106</v>
      </c>
      <c r="R35" t="s">
        <v>107</v>
      </c>
      <c r="AE35" s="4">
        <v>45985.798387824078</v>
      </c>
      <c r="AF35" s="4">
        <v>45985.798387824078</v>
      </c>
      <c r="AG35" t="s">
        <v>56</v>
      </c>
    </row>
    <row r="36" spans="1:33" x14ac:dyDescent="0.35">
      <c r="A36">
        <v>35</v>
      </c>
      <c r="B36" t="s">
        <v>176</v>
      </c>
      <c r="C36" t="s">
        <v>176</v>
      </c>
      <c r="D36" t="s">
        <v>106</v>
      </c>
      <c r="E36" t="s">
        <v>106</v>
      </c>
      <c r="R36" t="s">
        <v>107</v>
      </c>
      <c r="AE36" s="4">
        <v>45985.798387268522</v>
      </c>
      <c r="AF36" s="4">
        <v>45985.798389814823</v>
      </c>
      <c r="AG36" t="s">
        <v>56</v>
      </c>
    </row>
    <row r="37" spans="1:33" x14ac:dyDescent="0.35">
      <c r="A37">
        <v>36</v>
      </c>
      <c r="B37" t="s">
        <v>177</v>
      </c>
      <c r="C37" t="s">
        <v>177</v>
      </c>
      <c r="D37" t="s">
        <v>178</v>
      </c>
      <c r="E37" t="s">
        <v>106</v>
      </c>
      <c r="R37" t="s">
        <v>107</v>
      </c>
      <c r="AE37" s="4">
        <v>45985.798388773153</v>
      </c>
      <c r="AF37" s="4">
        <v>45985.798389710653</v>
      </c>
      <c r="AG37" t="s">
        <v>56</v>
      </c>
    </row>
    <row r="38" spans="1:33" x14ac:dyDescent="0.35">
      <c r="A38">
        <v>37</v>
      </c>
      <c r="B38" t="s">
        <v>179</v>
      </c>
      <c r="C38" t="s">
        <v>179</v>
      </c>
      <c r="D38" t="s">
        <v>180</v>
      </c>
      <c r="E38" t="s">
        <v>106</v>
      </c>
      <c r="R38" t="s">
        <v>107</v>
      </c>
      <c r="AE38" s="4">
        <v>45985.798387824078</v>
      </c>
      <c r="AF38" s="4">
        <v>45985.798390069453</v>
      </c>
      <c r="AG38" t="s">
        <v>56</v>
      </c>
    </row>
    <row r="39" spans="1:33" x14ac:dyDescent="0.35">
      <c r="A39">
        <v>38</v>
      </c>
      <c r="B39" t="s">
        <v>181</v>
      </c>
      <c r="C39" t="s">
        <v>181</v>
      </c>
      <c r="D39" t="s">
        <v>182</v>
      </c>
      <c r="E39" t="s">
        <v>106</v>
      </c>
      <c r="R39" t="s">
        <v>122</v>
      </c>
      <c r="AE39" s="4">
        <v>45985.798387615738</v>
      </c>
      <c r="AF39" s="4">
        <v>45985.798389675932</v>
      </c>
      <c r="AG39" t="s">
        <v>56</v>
      </c>
    </row>
    <row r="40" spans="1:33" x14ac:dyDescent="0.35">
      <c r="A40">
        <v>39</v>
      </c>
      <c r="B40" t="s">
        <v>183</v>
      </c>
      <c r="C40" t="s">
        <v>183</v>
      </c>
      <c r="D40" t="s">
        <v>184</v>
      </c>
      <c r="E40" t="s">
        <v>106</v>
      </c>
      <c r="R40" t="s">
        <v>107</v>
      </c>
      <c r="AE40" s="4">
        <v>45985.798387777781</v>
      </c>
      <c r="AF40" s="4">
        <v>45985.798388252311</v>
      </c>
      <c r="AG40" t="s">
        <v>56</v>
      </c>
    </row>
    <row r="41" spans="1:33" x14ac:dyDescent="0.35">
      <c r="A41">
        <v>40</v>
      </c>
      <c r="B41" t="s">
        <v>185</v>
      </c>
      <c r="C41" t="s">
        <v>185</v>
      </c>
      <c r="D41" t="s">
        <v>186</v>
      </c>
      <c r="E41" t="s">
        <v>106</v>
      </c>
      <c r="R41" t="s">
        <v>107</v>
      </c>
      <c r="AE41" s="4">
        <v>45985.798389282398</v>
      </c>
      <c r="AF41" s="4">
        <v>45985.798389675932</v>
      </c>
      <c r="AG41" t="s">
        <v>56</v>
      </c>
    </row>
    <row r="42" spans="1:33" x14ac:dyDescent="0.35">
      <c r="A42">
        <v>41</v>
      </c>
      <c r="B42" t="s">
        <v>187</v>
      </c>
      <c r="C42" t="s">
        <v>187</v>
      </c>
      <c r="D42" t="s">
        <v>188</v>
      </c>
      <c r="E42" t="s">
        <v>106</v>
      </c>
      <c r="R42" t="s">
        <v>107</v>
      </c>
      <c r="AE42" s="4">
        <v>45985.798388587973</v>
      </c>
      <c r="AF42" s="4">
        <v>45985.798389861113</v>
      </c>
      <c r="AG42" t="s">
        <v>56</v>
      </c>
    </row>
    <row r="43" spans="1:33" x14ac:dyDescent="0.35">
      <c r="A43">
        <v>42</v>
      </c>
      <c r="B43" t="s">
        <v>189</v>
      </c>
      <c r="C43" t="s">
        <v>189</v>
      </c>
      <c r="D43" t="s">
        <v>190</v>
      </c>
      <c r="E43" t="s">
        <v>106</v>
      </c>
      <c r="R43" t="s">
        <v>107</v>
      </c>
      <c r="AE43" s="4">
        <v>45985.798387546303</v>
      </c>
      <c r="AF43" s="4">
        <v>45985.798387615738</v>
      </c>
      <c r="AG43" t="s">
        <v>56</v>
      </c>
    </row>
    <row r="44" spans="1:33" x14ac:dyDescent="0.35">
      <c r="A44">
        <v>43</v>
      </c>
      <c r="B44" t="s">
        <v>191</v>
      </c>
      <c r="C44" t="s">
        <v>191</v>
      </c>
      <c r="D44" t="s">
        <v>192</v>
      </c>
      <c r="E44" t="s">
        <v>106</v>
      </c>
      <c r="R44" t="s">
        <v>107</v>
      </c>
      <c r="AE44" s="4">
        <v>45985.798388194453</v>
      </c>
      <c r="AF44" s="4">
        <v>45985.79838980324</v>
      </c>
      <c r="AG44" t="s">
        <v>56</v>
      </c>
    </row>
    <row r="45" spans="1:33" x14ac:dyDescent="0.35">
      <c r="A45">
        <v>44</v>
      </c>
      <c r="B45" t="s">
        <v>193</v>
      </c>
      <c r="C45" t="s">
        <v>193</v>
      </c>
      <c r="D45" t="s">
        <v>194</v>
      </c>
      <c r="E45" t="s">
        <v>106</v>
      </c>
      <c r="R45" t="s">
        <v>107</v>
      </c>
      <c r="AE45" s="4">
        <v>45985.798388518517</v>
      </c>
      <c r="AF45" s="4">
        <v>45985.798389768519</v>
      </c>
      <c r="AG45" t="s">
        <v>56</v>
      </c>
    </row>
    <row r="46" spans="1:33" x14ac:dyDescent="0.35">
      <c r="A46">
        <v>45</v>
      </c>
      <c r="B46" t="s">
        <v>195</v>
      </c>
      <c r="C46" t="s">
        <v>195</v>
      </c>
      <c r="D46" t="s">
        <v>196</v>
      </c>
      <c r="E46" t="s">
        <v>106</v>
      </c>
      <c r="R46" t="s">
        <v>107</v>
      </c>
      <c r="AE46" s="4">
        <v>45985.798388819443</v>
      </c>
      <c r="AF46" s="4">
        <v>45985.798389756943</v>
      </c>
      <c r="AG46" t="s">
        <v>56</v>
      </c>
    </row>
    <row r="47" spans="1:33" x14ac:dyDescent="0.35">
      <c r="A47">
        <v>46</v>
      </c>
      <c r="B47" t="s">
        <v>197</v>
      </c>
      <c r="C47" t="s">
        <v>197</v>
      </c>
      <c r="D47" t="s">
        <v>198</v>
      </c>
      <c r="E47" t="s">
        <v>106</v>
      </c>
      <c r="R47" t="s">
        <v>107</v>
      </c>
      <c r="AE47" s="4">
        <v>45985.798387511582</v>
      </c>
      <c r="AF47" s="4">
        <v>45985.798387511582</v>
      </c>
      <c r="AG47" t="s">
        <v>56</v>
      </c>
    </row>
    <row r="48" spans="1:33" x14ac:dyDescent="0.35">
      <c r="A48">
        <v>47</v>
      </c>
      <c r="B48" t="s">
        <v>199</v>
      </c>
      <c r="C48" t="s">
        <v>199</v>
      </c>
      <c r="D48" t="s">
        <v>200</v>
      </c>
      <c r="E48" t="s">
        <v>106</v>
      </c>
      <c r="R48" t="s">
        <v>107</v>
      </c>
      <c r="AE48" s="4">
        <v>45985.798388541669</v>
      </c>
      <c r="AF48" s="4">
        <v>45985.798389965283</v>
      </c>
      <c r="AG48" t="s">
        <v>56</v>
      </c>
    </row>
    <row r="49" spans="1:33" x14ac:dyDescent="0.35">
      <c r="A49">
        <v>48</v>
      </c>
      <c r="B49" t="s">
        <v>201</v>
      </c>
      <c r="C49" t="s">
        <v>201</v>
      </c>
      <c r="D49" t="s">
        <v>202</v>
      </c>
      <c r="R49" t="s">
        <v>107</v>
      </c>
      <c r="AE49" s="4">
        <v>45985.798389421303</v>
      </c>
      <c r="AF49" s="4">
        <v>45985.798389814823</v>
      </c>
      <c r="AG49" t="s">
        <v>56</v>
      </c>
    </row>
    <row r="50" spans="1:33" x14ac:dyDescent="0.35">
      <c r="A50">
        <v>49</v>
      </c>
      <c r="B50" t="s">
        <v>203</v>
      </c>
      <c r="C50" t="s">
        <v>203</v>
      </c>
      <c r="D50" t="s">
        <v>204</v>
      </c>
      <c r="E50" t="s">
        <v>106</v>
      </c>
      <c r="R50" t="s">
        <v>107</v>
      </c>
      <c r="AE50" s="4">
        <v>45985.798389062496</v>
      </c>
      <c r="AF50" s="4">
        <v>45985.798389722222</v>
      </c>
      <c r="AG50" t="s">
        <v>56</v>
      </c>
    </row>
    <row r="51" spans="1:33" x14ac:dyDescent="0.35">
      <c r="A51">
        <v>50</v>
      </c>
      <c r="B51" t="s">
        <v>205</v>
      </c>
      <c r="C51" t="s">
        <v>205</v>
      </c>
      <c r="D51" t="s">
        <v>206</v>
      </c>
      <c r="E51" t="s">
        <v>106</v>
      </c>
      <c r="R51" t="s">
        <v>107</v>
      </c>
      <c r="AE51" s="4">
        <v>45985.798388750001</v>
      </c>
      <c r="AF51" s="4">
        <v>45985.798389976851</v>
      </c>
      <c r="AG51" t="s">
        <v>56</v>
      </c>
    </row>
    <row r="52" spans="1:33" x14ac:dyDescent="0.35">
      <c r="A52">
        <v>51</v>
      </c>
      <c r="B52" t="s">
        <v>207</v>
      </c>
      <c r="C52" t="s">
        <v>207</v>
      </c>
      <c r="D52" t="s">
        <v>208</v>
      </c>
      <c r="R52" t="s">
        <v>107</v>
      </c>
      <c r="AE52" s="4">
        <v>45985.798390011572</v>
      </c>
      <c r="AF52" s="4">
        <v>45985.798390011572</v>
      </c>
      <c r="AG52" t="s">
        <v>56</v>
      </c>
    </row>
    <row r="53" spans="1:33" x14ac:dyDescent="0.35">
      <c r="A53">
        <v>52</v>
      </c>
      <c r="B53" t="s">
        <v>209</v>
      </c>
      <c r="C53" t="s">
        <v>209</v>
      </c>
      <c r="D53" t="s">
        <v>210</v>
      </c>
      <c r="E53" t="s">
        <v>211</v>
      </c>
      <c r="R53" t="s">
        <v>107</v>
      </c>
      <c r="AE53" s="4">
        <v>45985.798387303243</v>
      </c>
      <c r="AF53" s="4">
        <v>45985.79838980324</v>
      </c>
      <c r="AG53" t="s">
        <v>56</v>
      </c>
    </row>
    <row r="54" spans="1:33" x14ac:dyDescent="0.35">
      <c r="A54">
        <v>53</v>
      </c>
      <c r="B54" t="s">
        <v>212</v>
      </c>
      <c r="C54" t="s">
        <v>212</v>
      </c>
      <c r="D54" t="s">
        <v>213</v>
      </c>
      <c r="E54" t="s">
        <v>106</v>
      </c>
      <c r="R54" t="s">
        <v>107</v>
      </c>
      <c r="AE54" s="4">
        <v>45985.798387453702</v>
      </c>
      <c r="AF54" s="4">
        <v>45985.798387523151</v>
      </c>
      <c r="AG54" t="s">
        <v>56</v>
      </c>
    </row>
    <row r="55" spans="1:33" x14ac:dyDescent="0.35">
      <c r="A55">
        <v>54</v>
      </c>
      <c r="B55" t="s">
        <v>214</v>
      </c>
      <c r="C55" t="s">
        <v>214</v>
      </c>
      <c r="D55" t="s">
        <v>215</v>
      </c>
      <c r="E55" t="s">
        <v>216</v>
      </c>
      <c r="R55" t="s">
        <v>107</v>
      </c>
      <c r="AE55" s="4">
        <v>45985.798387627307</v>
      </c>
      <c r="AF55" s="4">
        <v>45985.798387627307</v>
      </c>
      <c r="AG55" t="s">
        <v>56</v>
      </c>
    </row>
    <row r="56" spans="1:33" x14ac:dyDescent="0.35">
      <c r="A56">
        <v>55</v>
      </c>
      <c r="B56" t="s">
        <v>217</v>
      </c>
      <c r="C56" t="s">
        <v>217</v>
      </c>
      <c r="D56" t="s">
        <v>218</v>
      </c>
      <c r="E56" t="s">
        <v>106</v>
      </c>
      <c r="R56" t="s">
        <v>107</v>
      </c>
      <c r="AE56" s="4">
        <v>45985.798388495372</v>
      </c>
      <c r="AF56" s="4">
        <v>45985.798390081021</v>
      </c>
      <c r="AG56" t="s">
        <v>56</v>
      </c>
    </row>
    <row r="57" spans="1:33" x14ac:dyDescent="0.35">
      <c r="A57">
        <v>56</v>
      </c>
      <c r="B57" t="s">
        <v>219</v>
      </c>
      <c r="C57" t="s">
        <v>219</v>
      </c>
      <c r="D57" t="s">
        <v>220</v>
      </c>
      <c r="E57" t="s">
        <v>221</v>
      </c>
      <c r="R57" t="s">
        <v>122</v>
      </c>
      <c r="AE57" s="4">
        <v>45985.798387592593</v>
      </c>
      <c r="AF57" s="4">
        <v>45985.79838803241</v>
      </c>
      <c r="AG57" t="s">
        <v>56</v>
      </c>
    </row>
    <row r="58" spans="1:33" x14ac:dyDescent="0.35">
      <c r="A58">
        <v>57</v>
      </c>
      <c r="B58" t="s">
        <v>222</v>
      </c>
      <c r="C58" t="s">
        <v>222</v>
      </c>
      <c r="D58" t="s">
        <v>223</v>
      </c>
      <c r="E58" t="s">
        <v>106</v>
      </c>
      <c r="R58" t="s">
        <v>107</v>
      </c>
      <c r="AE58" s="4">
        <v>45985.798388379633</v>
      </c>
      <c r="AF58" s="4">
        <v>45985.79838965278</v>
      </c>
      <c r="AG58" t="s">
        <v>56</v>
      </c>
    </row>
    <row r="59" spans="1:33" x14ac:dyDescent="0.35">
      <c r="A59">
        <v>58</v>
      </c>
      <c r="B59" t="s">
        <v>224</v>
      </c>
      <c r="C59" t="s">
        <v>224</v>
      </c>
      <c r="D59" t="s">
        <v>225</v>
      </c>
      <c r="E59" t="s">
        <v>106</v>
      </c>
      <c r="R59" t="s">
        <v>107</v>
      </c>
      <c r="AE59" s="4">
        <v>45985.798389062496</v>
      </c>
      <c r="AF59" s="4">
        <v>45985.798389722222</v>
      </c>
      <c r="AG59" t="s">
        <v>56</v>
      </c>
    </row>
    <row r="60" spans="1:33" x14ac:dyDescent="0.35">
      <c r="A60">
        <v>59</v>
      </c>
      <c r="B60" t="s">
        <v>226</v>
      </c>
      <c r="C60" t="s">
        <v>226</v>
      </c>
      <c r="D60" t="s">
        <v>227</v>
      </c>
      <c r="E60" t="s">
        <v>106</v>
      </c>
      <c r="R60" t="s">
        <v>107</v>
      </c>
      <c r="AE60" s="4">
        <v>45985.798389004631</v>
      </c>
      <c r="AF60" s="4">
        <v>45985.798389745367</v>
      </c>
      <c r="AG60" t="s">
        <v>56</v>
      </c>
    </row>
    <row r="61" spans="1:33" x14ac:dyDescent="0.35">
      <c r="A61">
        <v>60</v>
      </c>
      <c r="B61" t="s">
        <v>228</v>
      </c>
      <c r="C61" t="s">
        <v>228</v>
      </c>
      <c r="D61" t="s">
        <v>229</v>
      </c>
      <c r="E61" t="s">
        <v>106</v>
      </c>
      <c r="R61" t="s">
        <v>107</v>
      </c>
      <c r="AE61" s="4">
        <v>45985.798387824078</v>
      </c>
      <c r="AF61" s="4">
        <v>45985.798389768519</v>
      </c>
      <c r="AG61" t="s">
        <v>56</v>
      </c>
    </row>
    <row r="62" spans="1:33" x14ac:dyDescent="0.35">
      <c r="A62">
        <v>61</v>
      </c>
      <c r="B62" t="s">
        <v>230</v>
      </c>
      <c r="C62" t="s">
        <v>230</v>
      </c>
      <c r="D62" t="s">
        <v>231</v>
      </c>
      <c r="E62" t="s">
        <v>106</v>
      </c>
      <c r="R62" t="s">
        <v>107</v>
      </c>
      <c r="AE62" s="4">
        <v>45985.798389039352</v>
      </c>
      <c r="AF62" s="4">
        <v>45985.798390069453</v>
      </c>
      <c r="AG62" t="s">
        <v>56</v>
      </c>
    </row>
    <row r="63" spans="1:33" x14ac:dyDescent="0.35">
      <c r="A63">
        <v>62</v>
      </c>
      <c r="B63" t="s">
        <v>232</v>
      </c>
      <c r="C63" t="s">
        <v>232</v>
      </c>
      <c r="D63" t="s">
        <v>233</v>
      </c>
      <c r="E63" t="s">
        <v>106</v>
      </c>
      <c r="R63" t="s">
        <v>107</v>
      </c>
      <c r="AE63" s="4">
        <v>45985.798388518517</v>
      </c>
      <c r="AF63" s="4">
        <v>45985.798389791657</v>
      </c>
      <c r="AG63" t="s">
        <v>56</v>
      </c>
    </row>
    <row r="64" spans="1:33" x14ac:dyDescent="0.35">
      <c r="A64">
        <v>63</v>
      </c>
      <c r="B64" t="s">
        <v>234</v>
      </c>
      <c r="C64" t="s">
        <v>234</v>
      </c>
      <c r="D64" t="s">
        <v>235</v>
      </c>
      <c r="E64" t="s">
        <v>106</v>
      </c>
      <c r="R64" t="s">
        <v>107</v>
      </c>
      <c r="AE64" s="4">
        <v>45985.798389351847</v>
      </c>
      <c r="AF64" s="4">
        <v>45985.798389664349</v>
      </c>
      <c r="AG64" t="s">
        <v>56</v>
      </c>
    </row>
    <row r="65" spans="1:33" x14ac:dyDescent="0.35">
      <c r="A65">
        <v>64</v>
      </c>
      <c r="B65" t="s">
        <v>236</v>
      </c>
      <c r="C65" t="s">
        <v>236</v>
      </c>
      <c r="D65" t="s">
        <v>237</v>
      </c>
      <c r="E65" t="s">
        <v>106</v>
      </c>
      <c r="R65" t="s">
        <v>107</v>
      </c>
      <c r="AE65" s="4">
        <v>45985.798387569441</v>
      </c>
      <c r="AF65" s="4">
        <v>45985.79838980324</v>
      </c>
      <c r="AG65" t="s">
        <v>56</v>
      </c>
    </row>
    <row r="66" spans="1:33" x14ac:dyDescent="0.35">
      <c r="A66">
        <v>65</v>
      </c>
      <c r="B66" t="s">
        <v>238</v>
      </c>
      <c r="C66" t="s">
        <v>238</v>
      </c>
      <c r="D66" t="s">
        <v>239</v>
      </c>
      <c r="E66" t="s">
        <v>106</v>
      </c>
      <c r="R66" t="s">
        <v>107</v>
      </c>
      <c r="AE66" s="4">
        <v>45985.79838832176</v>
      </c>
      <c r="AF66" s="4">
        <v>45985.79838980324</v>
      </c>
      <c r="AG66" t="s">
        <v>56</v>
      </c>
    </row>
    <row r="67" spans="1:33" x14ac:dyDescent="0.35">
      <c r="A67">
        <v>66</v>
      </c>
      <c r="B67" t="s">
        <v>240</v>
      </c>
      <c r="C67" t="s">
        <v>240</v>
      </c>
      <c r="D67" t="s">
        <v>241</v>
      </c>
      <c r="R67" t="s">
        <v>107</v>
      </c>
      <c r="AE67" s="4">
        <v>45985.798388159717</v>
      </c>
      <c r="AF67" s="4">
        <v>45985.798388240742</v>
      </c>
      <c r="AG67" t="s">
        <v>56</v>
      </c>
    </row>
    <row r="68" spans="1:33" x14ac:dyDescent="0.35">
      <c r="A68">
        <v>67</v>
      </c>
      <c r="B68" t="s">
        <v>242</v>
      </c>
      <c r="C68" t="s">
        <v>242</v>
      </c>
      <c r="D68" t="s">
        <v>243</v>
      </c>
      <c r="E68" t="s">
        <v>106</v>
      </c>
      <c r="R68" t="s">
        <v>107</v>
      </c>
      <c r="AE68" s="4">
        <v>45985.798389571763</v>
      </c>
      <c r="AF68" s="4">
        <v>45985.798389861113</v>
      </c>
      <c r="AG68" t="s">
        <v>56</v>
      </c>
    </row>
    <row r="69" spans="1:33" x14ac:dyDescent="0.35">
      <c r="A69">
        <v>68</v>
      </c>
      <c r="B69" t="s">
        <v>244</v>
      </c>
      <c r="C69" t="s">
        <v>244</v>
      </c>
      <c r="D69" t="s">
        <v>245</v>
      </c>
      <c r="E69" t="s">
        <v>106</v>
      </c>
      <c r="R69" t="s">
        <v>107</v>
      </c>
      <c r="AE69" s="4">
        <v>45985.79838925926</v>
      </c>
      <c r="AF69" s="4">
        <v>45985.798389930547</v>
      </c>
      <c r="AG69" t="s">
        <v>56</v>
      </c>
    </row>
    <row r="70" spans="1:33" x14ac:dyDescent="0.35">
      <c r="A70">
        <v>69</v>
      </c>
      <c r="B70" t="s">
        <v>246</v>
      </c>
      <c r="C70" t="s">
        <v>246</v>
      </c>
      <c r="D70" t="s">
        <v>247</v>
      </c>
      <c r="R70" t="s">
        <v>107</v>
      </c>
      <c r="AE70" s="4">
        <v>45985.798388287039</v>
      </c>
      <c r="AF70" s="4">
        <v>45985.798388287039</v>
      </c>
      <c r="AG70" t="s">
        <v>56</v>
      </c>
    </row>
    <row r="71" spans="1:33" x14ac:dyDescent="0.35">
      <c r="A71">
        <v>70</v>
      </c>
      <c r="B71" t="s">
        <v>248</v>
      </c>
      <c r="C71" t="s">
        <v>248</v>
      </c>
      <c r="D71" t="s">
        <v>249</v>
      </c>
      <c r="E71" t="s">
        <v>155</v>
      </c>
      <c r="R71" t="s">
        <v>122</v>
      </c>
      <c r="AE71" s="4">
        <v>45985.79838763889</v>
      </c>
      <c r="AF71" s="4">
        <v>45985.798388043979</v>
      </c>
      <c r="AG71" t="s">
        <v>56</v>
      </c>
    </row>
    <row r="72" spans="1:33" x14ac:dyDescent="0.35">
      <c r="A72">
        <v>71</v>
      </c>
      <c r="B72" t="s">
        <v>250</v>
      </c>
      <c r="C72" t="s">
        <v>250</v>
      </c>
      <c r="D72" t="s">
        <v>251</v>
      </c>
      <c r="E72" t="s">
        <v>106</v>
      </c>
      <c r="R72" t="s">
        <v>107</v>
      </c>
      <c r="AE72" s="4">
        <v>45985.798387685187</v>
      </c>
      <c r="AF72" s="4">
        <v>45985.798387685187</v>
      </c>
      <c r="AG72" t="s">
        <v>56</v>
      </c>
    </row>
    <row r="73" spans="1:33" x14ac:dyDescent="0.35">
      <c r="A73">
        <v>72</v>
      </c>
      <c r="B73" t="s">
        <v>252</v>
      </c>
      <c r="C73" t="s">
        <v>252</v>
      </c>
      <c r="D73" t="s">
        <v>253</v>
      </c>
      <c r="E73" t="s">
        <v>106</v>
      </c>
      <c r="R73" t="s">
        <v>107</v>
      </c>
      <c r="AE73" s="4">
        <v>45985.798388460651</v>
      </c>
      <c r="AF73" s="4">
        <v>45985.798389756943</v>
      </c>
      <c r="AG73" t="s">
        <v>56</v>
      </c>
    </row>
    <row r="74" spans="1:33" x14ac:dyDescent="0.35">
      <c r="A74">
        <v>73</v>
      </c>
      <c r="B74" t="s">
        <v>254</v>
      </c>
      <c r="C74" t="s">
        <v>254</v>
      </c>
      <c r="D74" t="s">
        <v>255</v>
      </c>
      <c r="E74" t="s">
        <v>106</v>
      </c>
      <c r="R74" t="s">
        <v>107</v>
      </c>
      <c r="AE74" s="4">
        <v>45985.79838818287</v>
      </c>
      <c r="AF74" s="4">
        <v>45985.79838980324</v>
      </c>
      <c r="AG74" t="s">
        <v>56</v>
      </c>
    </row>
    <row r="75" spans="1:33" x14ac:dyDescent="0.35">
      <c r="A75">
        <v>74</v>
      </c>
      <c r="B75" t="s">
        <v>256</v>
      </c>
      <c r="C75" t="s">
        <v>256</v>
      </c>
      <c r="D75" t="s">
        <v>257</v>
      </c>
      <c r="R75" t="s">
        <v>107</v>
      </c>
      <c r="AE75" s="4">
        <v>45985.798388287039</v>
      </c>
      <c r="AF75" s="4">
        <v>45985.798388287039</v>
      </c>
      <c r="AG75" t="s">
        <v>56</v>
      </c>
    </row>
    <row r="76" spans="1:33" x14ac:dyDescent="0.35">
      <c r="A76">
        <v>75</v>
      </c>
      <c r="B76" t="s">
        <v>258</v>
      </c>
      <c r="C76" t="s">
        <v>258</v>
      </c>
      <c r="D76" t="s">
        <v>259</v>
      </c>
      <c r="E76" t="s">
        <v>106</v>
      </c>
      <c r="R76" t="s">
        <v>107</v>
      </c>
      <c r="AE76" s="4">
        <v>45985.798388680552</v>
      </c>
      <c r="AF76" s="4">
        <v>45985.798389791657</v>
      </c>
      <c r="AG76" t="s">
        <v>56</v>
      </c>
    </row>
    <row r="77" spans="1:33" x14ac:dyDescent="0.35">
      <c r="A77">
        <v>76</v>
      </c>
      <c r="B77" t="s">
        <v>260</v>
      </c>
      <c r="C77" t="s">
        <v>260</v>
      </c>
      <c r="D77" t="s">
        <v>261</v>
      </c>
      <c r="E77" t="s">
        <v>106</v>
      </c>
      <c r="R77" t="s">
        <v>107</v>
      </c>
      <c r="AE77" s="4">
        <v>45985.798388483803</v>
      </c>
      <c r="AF77" s="4">
        <v>45985.79838980324</v>
      </c>
      <c r="AG77" t="s">
        <v>56</v>
      </c>
    </row>
    <row r="78" spans="1:33" x14ac:dyDescent="0.35">
      <c r="A78">
        <v>77</v>
      </c>
      <c r="B78" t="s">
        <v>262</v>
      </c>
      <c r="C78" t="s">
        <v>262</v>
      </c>
      <c r="D78" t="s">
        <v>263</v>
      </c>
      <c r="R78" t="s">
        <v>107</v>
      </c>
      <c r="AE78" s="4">
        <v>45985.798389930547</v>
      </c>
      <c r="AF78" s="4">
        <v>45985.798389930547</v>
      </c>
      <c r="AG78" t="s">
        <v>56</v>
      </c>
    </row>
    <row r="79" spans="1:33" x14ac:dyDescent="0.35">
      <c r="A79">
        <v>78</v>
      </c>
      <c r="B79" t="s">
        <v>264</v>
      </c>
      <c r="C79" t="s">
        <v>264</v>
      </c>
      <c r="D79" t="s">
        <v>265</v>
      </c>
      <c r="R79" t="s">
        <v>107</v>
      </c>
      <c r="AE79" s="4">
        <v>45985.798390011572</v>
      </c>
      <c r="AF79" s="4">
        <v>45985.798390011572</v>
      </c>
      <c r="AG79" t="s">
        <v>56</v>
      </c>
    </row>
    <row r="80" spans="1:33" x14ac:dyDescent="0.35">
      <c r="A80">
        <v>79</v>
      </c>
      <c r="B80" t="s">
        <v>266</v>
      </c>
      <c r="C80" t="s">
        <v>266</v>
      </c>
      <c r="D80" t="s">
        <v>267</v>
      </c>
      <c r="E80" t="s">
        <v>106</v>
      </c>
      <c r="R80" t="s">
        <v>107</v>
      </c>
      <c r="AE80" s="4">
        <v>45985.798389386568</v>
      </c>
      <c r="AF80" s="4">
        <v>45985.798389814823</v>
      </c>
      <c r="AG80" t="s">
        <v>56</v>
      </c>
    </row>
    <row r="81" spans="1:33" x14ac:dyDescent="0.35">
      <c r="A81">
        <v>80</v>
      </c>
      <c r="B81" t="s">
        <v>268</v>
      </c>
      <c r="C81" t="s">
        <v>268</v>
      </c>
      <c r="D81" t="s">
        <v>269</v>
      </c>
      <c r="E81" t="s">
        <v>106</v>
      </c>
      <c r="R81" t="s">
        <v>107</v>
      </c>
      <c r="AE81" s="4">
        <v>45985.798388807867</v>
      </c>
      <c r="AF81" s="4">
        <v>45985.798389768519</v>
      </c>
      <c r="AG81" t="s">
        <v>56</v>
      </c>
    </row>
    <row r="82" spans="1:33" x14ac:dyDescent="0.35">
      <c r="A82">
        <v>81</v>
      </c>
      <c r="B82" t="s">
        <v>270</v>
      </c>
      <c r="C82" t="s">
        <v>270</v>
      </c>
      <c r="D82" t="s">
        <v>271</v>
      </c>
      <c r="E82" t="s">
        <v>106</v>
      </c>
      <c r="R82" t="s">
        <v>107</v>
      </c>
      <c r="AE82" s="4">
        <v>45985.798387361108</v>
      </c>
      <c r="AF82" s="4">
        <v>45985.798390081021</v>
      </c>
      <c r="AG82" t="s">
        <v>56</v>
      </c>
    </row>
    <row r="83" spans="1:33" x14ac:dyDescent="0.35">
      <c r="A83">
        <v>82</v>
      </c>
      <c r="B83" t="s">
        <v>272</v>
      </c>
      <c r="C83" t="s">
        <v>272</v>
      </c>
      <c r="D83" t="s">
        <v>273</v>
      </c>
      <c r="E83" t="s">
        <v>106</v>
      </c>
      <c r="R83" t="s">
        <v>107</v>
      </c>
      <c r="AE83" s="4">
        <v>45985.798388958327</v>
      </c>
      <c r="AF83" s="4">
        <v>45985.798389733798</v>
      </c>
      <c r="AG83" t="s">
        <v>56</v>
      </c>
    </row>
    <row r="84" spans="1:33" x14ac:dyDescent="0.35">
      <c r="A84">
        <v>83</v>
      </c>
      <c r="B84" t="s">
        <v>274</v>
      </c>
      <c r="C84" t="s">
        <v>274</v>
      </c>
      <c r="D84" t="s">
        <v>275</v>
      </c>
      <c r="E84" t="s">
        <v>106</v>
      </c>
      <c r="R84" t="s">
        <v>107</v>
      </c>
      <c r="AE84" s="4">
        <v>45985.798389027783</v>
      </c>
      <c r="AF84" s="4">
        <v>45985.798389930547</v>
      </c>
      <c r="AG84" t="s">
        <v>56</v>
      </c>
    </row>
    <row r="85" spans="1:33" x14ac:dyDescent="0.35">
      <c r="A85">
        <v>84</v>
      </c>
      <c r="B85" t="s">
        <v>276</v>
      </c>
      <c r="C85" t="s">
        <v>276</v>
      </c>
      <c r="D85" t="s">
        <v>277</v>
      </c>
      <c r="R85" t="s">
        <v>107</v>
      </c>
      <c r="AE85" s="4">
        <v>45985.79838832176</v>
      </c>
      <c r="AF85" s="4">
        <v>45985.79838832176</v>
      </c>
      <c r="AG85" t="s">
        <v>56</v>
      </c>
    </row>
    <row r="86" spans="1:33" x14ac:dyDescent="0.35">
      <c r="A86">
        <v>85</v>
      </c>
      <c r="B86" t="s">
        <v>278</v>
      </c>
      <c r="C86" t="s">
        <v>278</v>
      </c>
      <c r="D86" t="s">
        <v>279</v>
      </c>
      <c r="E86" t="s">
        <v>106</v>
      </c>
      <c r="R86" t="s">
        <v>107</v>
      </c>
      <c r="AE86" s="4">
        <v>45985.79838886574</v>
      </c>
      <c r="AF86" s="4">
        <v>45985.798389733798</v>
      </c>
      <c r="AG86" t="s">
        <v>56</v>
      </c>
    </row>
    <row r="87" spans="1:33" x14ac:dyDescent="0.35">
      <c r="A87">
        <v>86</v>
      </c>
      <c r="B87" t="s">
        <v>280</v>
      </c>
      <c r="C87" t="s">
        <v>280</v>
      </c>
      <c r="D87" t="s">
        <v>281</v>
      </c>
      <c r="E87" t="s">
        <v>106</v>
      </c>
      <c r="R87" t="s">
        <v>107</v>
      </c>
      <c r="AE87" s="4">
        <v>45985.798389641197</v>
      </c>
      <c r="AF87" s="4">
        <v>45985.798389918979</v>
      </c>
      <c r="AG87" t="s">
        <v>56</v>
      </c>
    </row>
    <row r="88" spans="1:33" x14ac:dyDescent="0.35">
      <c r="A88">
        <v>87</v>
      </c>
      <c r="B88" t="s">
        <v>282</v>
      </c>
      <c r="C88" t="s">
        <v>282</v>
      </c>
      <c r="D88" t="s">
        <v>283</v>
      </c>
      <c r="E88" t="s">
        <v>106</v>
      </c>
      <c r="R88" t="s">
        <v>107</v>
      </c>
      <c r="AE88" s="4">
        <v>45985.798387268522</v>
      </c>
      <c r="AF88" s="4">
        <v>45985.798387268522</v>
      </c>
      <c r="AG88" t="s">
        <v>56</v>
      </c>
    </row>
    <row r="89" spans="1:33" x14ac:dyDescent="0.35">
      <c r="A89">
        <v>88</v>
      </c>
      <c r="B89" t="s">
        <v>284</v>
      </c>
      <c r="C89" t="s">
        <v>284</v>
      </c>
      <c r="D89" t="s">
        <v>285</v>
      </c>
      <c r="E89" t="s">
        <v>106</v>
      </c>
      <c r="R89" t="s">
        <v>107</v>
      </c>
      <c r="AE89" s="4">
        <v>45985.798389293981</v>
      </c>
      <c r="AF89" s="4">
        <v>45985.798389675932</v>
      </c>
      <c r="AG89" t="s">
        <v>56</v>
      </c>
    </row>
    <row r="90" spans="1:33" x14ac:dyDescent="0.35">
      <c r="A90">
        <v>89</v>
      </c>
      <c r="B90" t="s">
        <v>286</v>
      </c>
      <c r="C90" t="s">
        <v>286</v>
      </c>
      <c r="D90" t="s">
        <v>287</v>
      </c>
      <c r="R90" t="s">
        <v>107</v>
      </c>
      <c r="AE90" s="4">
        <v>45985.798388333344</v>
      </c>
      <c r="AF90" s="4">
        <v>45985.798388333344</v>
      </c>
      <c r="AG90" t="s">
        <v>56</v>
      </c>
    </row>
    <row r="91" spans="1:33" x14ac:dyDescent="0.35">
      <c r="A91">
        <v>90</v>
      </c>
      <c r="B91" t="s">
        <v>288</v>
      </c>
      <c r="C91" t="s">
        <v>288</v>
      </c>
      <c r="D91" t="s">
        <v>289</v>
      </c>
      <c r="E91" t="s">
        <v>106</v>
      </c>
      <c r="R91" t="s">
        <v>107</v>
      </c>
      <c r="AE91" s="4">
        <v>45985.798388842602</v>
      </c>
      <c r="AF91" s="4">
        <v>45985.798389768519</v>
      </c>
      <c r="AG91" t="s">
        <v>56</v>
      </c>
    </row>
    <row r="92" spans="1:33" x14ac:dyDescent="0.35">
      <c r="A92">
        <v>91</v>
      </c>
      <c r="B92" t="s">
        <v>290</v>
      </c>
      <c r="C92" t="s">
        <v>290</v>
      </c>
      <c r="D92" t="s">
        <v>291</v>
      </c>
      <c r="E92" t="s">
        <v>106</v>
      </c>
      <c r="R92" t="s">
        <v>107</v>
      </c>
      <c r="AE92" s="4">
        <v>45985.798388692128</v>
      </c>
      <c r="AF92" s="4">
        <v>45985.798389780102</v>
      </c>
      <c r="AG92" t="s">
        <v>56</v>
      </c>
    </row>
    <row r="93" spans="1:33" x14ac:dyDescent="0.35">
      <c r="A93">
        <v>92</v>
      </c>
      <c r="B93" t="s">
        <v>292</v>
      </c>
      <c r="C93" t="s">
        <v>292</v>
      </c>
      <c r="D93" t="s">
        <v>293</v>
      </c>
      <c r="R93" t="s">
        <v>107</v>
      </c>
      <c r="AE93" s="4">
        <v>45985.798390046293</v>
      </c>
      <c r="AF93" s="4">
        <v>45985.798390081021</v>
      </c>
      <c r="AG93" t="s">
        <v>56</v>
      </c>
    </row>
    <row r="94" spans="1:33" x14ac:dyDescent="0.35">
      <c r="A94">
        <v>93</v>
      </c>
      <c r="B94" t="s">
        <v>294</v>
      </c>
      <c r="C94" t="s">
        <v>294</v>
      </c>
      <c r="D94" t="s">
        <v>295</v>
      </c>
      <c r="E94" t="s">
        <v>106</v>
      </c>
      <c r="R94" t="s">
        <v>107</v>
      </c>
      <c r="AE94" s="4">
        <v>45985.798387696763</v>
      </c>
      <c r="AF94" s="4">
        <v>45985.798389826392</v>
      </c>
      <c r="AG94" t="s">
        <v>56</v>
      </c>
    </row>
    <row r="95" spans="1:33" x14ac:dyDescent="0.35">
      <c r="A95">
        <v>94</v>
      </c>
      <c r="B95" t="s">
        <v>296</v>
      </c>
      <c r="C95" t="s">
        <v>296</v>
      </c>
      <c r="D95" t="s">
        <v>297</v>
      </c>
      <c r="E95" t="s">
        <v>106</v>
      </c>
      <c r="R95" t="s">
        <v>122</v>
      </c>
      <c r="AE95" s="4">
        <v>45985.798389895826</v>
      </c>
      <c r="AF95" s="4">
        <v>45985.798389895826</v>
      </c>
      <c r="AG95" t="s">
        <v>56</v>
      </c>
    </row>
    <row r="96" spans="1:33" x14ac:dyDescent="0.35">
      <c r="A96">
        <v>95</v>
      </c>
      <c r="B96" t="s">
        <v>298</v>
      </c>
      <c r="C96" t="s">
        <v>298</v>
      </c>
      <c r="D96" t="s">
        <v>299</v>
      </c>
      <c r="E96" t="s">
        <v>106</v>
      </c>
      <c r="R96" t="s">
        <v>107</v>
      </c>
      <c r="AE96" s="4">
        <v>45985.798388622687</v>
      </c>
      <c r="AF96" s="4">
        <v>45985.798389780102</v>
      </c>
      <c r="AG96" t="s">
        <v>56</v>
      </c>
    </row>
    <row r="97" spans="1:33" x14ac:dyDescent="0.35">
      <c r="A97">
        <v>96</v>
      </c>
      <c r="B97" t="s">
        <v>300</v>
      </c>
      <c r="C97" t="s">
        <v>300</v>
      </c>
      <c r="D97" t="s">
        <v>301</v>
      </c>
      <c r="R97" t="s">
        <v>122</v>
      </c>
      <c r="AE97" s="4">
        <v>45985.798388287039</v>
      </c>
      <c r="AF97" s="4">
        <v>45985.798388287039</v>
      </c>
      <c r="AG97" t="s">
        <v>56</v>
      </c>
    </row>
    <row r="98" spans="1:33" x14ac:dyDescent="0.35">
      <c r="A98">
        <v>97</v>
      </c>
      <c r="B98" t="s">
        <v>302</v>
      </c>
      <c r="C98" t="s">
        <v>302</v>
      </c>
      <c r="D98" t="s">
        <v>303</v>
      </c>
      <c r="R98" t="s">
        <v>107</v>
      </c>
      <c r="AE98" s="4">
        <v>45985.798389629628</v>
      </c>
      <c r="AF98" s="4">
        <v>45985.798389918979</v>
      </c>
      <c r="AG98" t="s">
        <v>56</v>
      </c>
    </row>
    <row r="99" spans="1:33" x14ac:dyDescent="0.35">
      <c r="A99">
        <v>98</v>
      </c>
      <c r="B99" t="s">
        <v>304</v>
      </c>
      <c r="C99" t="s">
        <v>304</v>
      </c>
      <c r="D99" t="s">
        <v>305</v>
      </c>
      <c r="R99" t="s">
        <v>107</v>
      </c>
      <c r="AE99" s="4">
        <v>45985.79838832176</v>
      </c>
      <c r="AF99" s="4">
        <v>45985.79838832176</v>
      </c>
      <c r="AG99" t="s">
        <v>56</v>
      </c>
    </row>
    <row r="100" spans="1:33" x14ac:dyDescent="0.35">
      <c r="A100">
        <v>99</v>
      </c>
      <c r="B100" t="s">
        <v>306</v>
      </c>
      <c r="C100" t="s">
        <v>306</v>
      </c>
      <c r="D100" t="s">
        <v>307</v>
      </c>
      <c r="E100" t="s">
        <v>106</v>
      </c>
      <c r="R100" t="s">
        <v>107</v>
      </c>
      <c r="AE100" s="4">
        <v>45985.798388807867</v>
      </c>
      <c r="AF100" s="4">
        <v>45985.798389768519</v>
      </c>
      <c r="AG100" t="s">
        <v>56</v>
      </c>
    </row>
    <row r="101" spans="1:33" x14ac:dyDescent="0.35">
      <c r="A101">
        <v>100</v>
      </c>
      <c r="B101" t="s">
        <v>308</v>
      </c>
      <c r="C101" t="s">
        <v>308</v>
      </c>
      <c r="D101" t="s">
        <v>309</v>
      </c>
      <c r="R101" t="s">
        <v>107</v>
      </c>
      <c r="AE101" s="4">
        <v>45985.798389988428</v>
      </c>
      <c r="AF101" s="4">
        <v>45985.798390069453</v>
      </c>
      <c r="AG101" t="s">
        <v>56</v>
      </c>
    </row>
    <row r="102" spans="1:33" x14ac:dyDescent="0.35">
      <c r="A102">
        <v>101</v>
      </c>
      <c r="B102" t="s">
        <v>310</v>
      </c>
      <c r="C102" t="s">
        <v>310</v>
      </c>
      <c r="D102" t="s">
        <v>311</v>
      </c>
      <c r="E102" t="s">
        <v>106</v>
      </c>
      <c r="R102" t="s">
        <v>107</v>
      </c>
      <c r="AE102" s="4">
        <v>45985.798388668984</v>
      </c>
      <c r="AF102" s="4">
        <v>45985.798389791657</v>
      </c>
      <c r="AG102" t="s">
        <v>56</v>
      </c>
    </row>
    <row r="103" spans="1:33" x14ac:dyDescent="0.35">
      <c r="A103">
        <v>102</v>
      </c>
      <c r="B103" t="s">
        <v>312</v>
      </c>
      <c r="C103" t="s">
        <v>312</v>
      </c>
      <c r="D103" t="s">
        <v>313</v>
      </c>
      <c r="E103" t="s">
        <v>106</v>
      </c>
      <c r="R103" t="s">
        <v>107</v>
      </c>
      <c r="AE103" s="4">
        <v>45985.798387685187</v>
      </c>
      <c r="AF103" s="4">
        <v>45985.798387685187</v>
      </c>
      <c r="AG103" t="s">
        <v>56</v>
      </c>
    </row>
    <row r="104" spans="1:33" x14ac:dyDescent="0.35">
      <c r="A104">
        <v>103</v>
      </c>
      <c r="B104" t="s">
        <v>314</v>
      </c>
      <c r="C104" t="s">
        <v>314</v>
      </c>
      <c r="D104" t="s">
        <v>315</v>
      </c>
      <c r="E104" t="s">
        <v>106</v>
      </c>
      <c r="R104" t="s">
        <v>107</v>
      </c>
      <c r="AE104" s="4">
        <v>45985.798387766197</v>
      </c>
      <c r="AF104" s="4">
        <v>45985.798389826392</v>
      </c>
      <c r="AG104" t="s">
        <v>56</v>
      </c>
    </row>
    <row r="105" spans="1:33" x14ac:dyDescent="0.35">
      <c r="A105">
        <v>104</v>
      </c>
      <c r="B105" t="s">
        <v>316</v>
      </c>
      <c r="C105" t="s">
        <v>316</v>
      </c>
      <c r="D105" t="s">
        <v>317</v>
      </c>
      <c r="E105" t="s">
        <v>106</v>
      </c>
      <c r="R105" t="s">
        <v>107</v>
      </c>
      <c r="AE105" s="4">
        <v>45985.798389317133</v>
      </c>
      <c r="AF105" s="4">
        <v>45985.798389814823</v>
      </c>
      <c r="AG105" t="s">
        <v>56</v>
      </c>
    </row>
    <row r="106" spans="1:33" x14ac:dyDescent="0.35">
      <c r="A106">
        <v>105</v>
      </c>
      <c r="B106" t="s">
        <v>318</v>
      </c>
      <c r="C106" t="s">
        <v>318</v>
      </c>
      <c r="D106" t="s">
        <v>319</v>
      </c>
      <c r="R106" t="s">
        <v>107</v>
      </c>
      <c r="AE106" s="4">
        <v>45985.798390023148</v>
      </c>
      <c r="AF106" s="4">
        <v>45985.798390023148</v>
      </c>
      <c r="AG106" t="s">
        <v>56</v>
      </c>
    </row>
    <row r="107" spans="1:33" x14ac:dyDescent="0.35">
      <c r="A107">
        <v>106</v>
      </c>
      <c r="B107" t="s">
        <v>320</v>
      </c>
      <c r="C107" t="s">
        <v>320</v>
      </c>
      <c r="D107" t="s">
        <v>321</v>
      </c>
      <c r="E107" t="s">
        <v>106</v>
      </c>
      <c r="R107" t="s">
        <v>107</v>
      </c>
      <c r="AE107" s="4">
        <v>45985.798389039352</v>
      </c>
      <c r="AF107" s="4">
        <v>45985.798389722222</v>
      </c>
      <c r="AG107" t="s">
        <v>56</v>
      </c>
    </row>
    <row r="108" spans="1:33" x14ac:dyDescent="0.35">
      <c r="A108">
        <v>107</v>
      </c>
      <c r="B108" t="s">
        <v>322</v>
      </c>
      <c r="C108" t="s">
        <v>322</v>
      </c>
      <c r="D108" t="s">
        <v>323</v>
      </c>
      <c r="E108" t="s">
        <v>106</v>
      </c>
      <c r="R108" t="s">
        <v>122</v>
      </c>
      <c r="AE108" s="4">
        <v>45985.798388773153</v>
      </c>
      <c r="AF108" s="4">
        <v>45985.798389710653</v>
      </c>
      <c r="AG108" t="s">
        <v>56</v>
      </c>
    </row>
    <row r="109" spans="1:33" x14ac:dyDescent="0.35">
      <c r="A109">
        <v>108</v>
      </c>
      <c r="B109" t="s">
        <v>324</v>
      </c>
      <c r="C109" t="s">
        <v>324</v>
      </c>
      <c r="D109" t="s">
        <v>325</v>
      </c>
      <c r="E109" t="s">
        <v>106</v>
      </c>
      <c r="R109" t="s">
        <v>107</v>
      </c>
      <c r="AE109" s="4">
        <v>45985.798389027783</v>
      </c>
      <c r="AF109" s="4">
        <v>45985.798389745367</v>
      </c>
      <c r="AG109" t="s">
        <v>56</v>
      </c>
    </row>
    <row r="110" spans="1:33" x14ac:dyDescent="0.35">
      <c r="A110">
        <v>109</v>
      </c>
      <c r="B110" t="s">
        <v>326</v>
      </c>
      <c r="C110" t="s">
        <v>326</v>
      </c>
      <c r="D110" t="s">
        <v>327</v>
      </c>
      <c r="E110" t="s">
        <v>106</v>
      </c>
      <c r="R110" t="s">
        <v>110</v>
      </c>
      <c r="AE110" s="4">
        <v>45985.798387303243</v>
      </c>
      <c r="AF110" s="4">
        <v>45985.79838792824</v>
      </c>
      <c r="AG110" t="s">
        <v>56</v>
      </c>
    </row>
    <row r="111" spans="1:33" x14ac:dyDescent="0.35">
      <c r="A111">
        <v>110</v>
      </c>
      <c r="B111" t="s">
        <v>328</v>
      </c>
      <c r="C111" t="s">
        <v>328</v>
      </c>
      <c r="D111" t="s">
        <v>329</v>
      </c>
      <c r="E111" t="s">
        <v>106</v>
      </c>
      <c r="R111" t="s">
        <v>122</v>
      </c>
      <c r="AE111" s="4">
        <v>45985.798387476847</v>
      </c>
      <c r="AF111" s="4">
        <v>45985.798387962961</v>
      </c>
      <c r="AG111" t="s">
        <v>56</v>
      </c>
    </row>
    <row r="112" spans="1:33" x14ac:dyDescent="0.35">
      <c r="A112">
        <v>111</v>
      </c>
      <c r="B112" t="s">
        <v>330</v>
      </c>
      <c r="C112" t="s">
        <v>330</v>
      </c>
      <c r="D112" t="s">
        <v>331</v>
      </c>
      <c r="E112" t="s">
        <v>106</v>
      </c>
      <c r="R112" t="s">
        <v>107</v>
      </c>
      <c r="AE112" s="4">
        <v>45985.798387766197</v>
      </c>
      <c r="AF112" s="4">
        <v>45985.798387766197</v>
      </c>
      <c r="AG112" t="s">
        <v>56</v>
      </c>
    </row>
    <row r="113" spans="1:33" x14ac:dyDescent="0.35">
      <c r="A113">
        <v>112</v>
      </c>
      <c r="B113" t="s">
        <v>332</v>
      </c>
      <c r="C113" t="s">
        <v>332</v>
      </c>
      <c r="D113" t="s">
        <v>333</v>
      </c>
      <c r="E113" t="s">
        <v>106</v>
      </c>
      <c r="R113" t="s">
        <v>107</v>
      </c>
      <c r="AE113" s="4">
        <v>45985.798387499999</v>
      </c>
      <c r="AF113" s="4">
        <v>45985.798387499999</v>
      </c>
      <c r="AG113" t="s">
        <v>56</v>
      </c>
    </row>
    <row r="114" spans="1:33" x14ac:dyDescent="0.35">
      <c r="A114">
        <v>113</v>
      </c>
      <c r="B114" t="s">
        <v>334</v>
      </c>
      <c r="C114" t="s">
        <v>334</v>
      </c>
      <c r="D114" t="s">
        <v>335</v>
      </c>
      <c r="E114" t="s">
        <v>106</v>
      </c>
      <c r="R114" t="s">
        <v>107</v>
      </c>
      <c r="AE114" s="4">
        <v>45985.798388726849</v>
      </c>
      <c r="AF114" s="4">
        <v>45985.798389756943</v>
      </c>
      <c r="AG114" t="s">
        <v>56</v>
      </c>
    </row>
    <row r="115" spans="1:33" x14ac:dyDescent="0.35">
      <c r="A115">
        <v>114</v>
      </c>
      <c r="B115" t="s">
        <v>336</v>
      </c>
      <c r="C115" t="s">
        <v>336</v>
      </c>
      <c r="D115" t="s">
        <v>337</v>
      </c>
      <c r="E115" t="s">
        <v>106</v>
      </c>
      <c r="R115" t="s">
        <v>107</v>
      </c>
      <c r="AE115" s="4">
        <v>45985.79838871528</v>
      </c>
      <c r="AF115" s="4">
        <v>45985.798389768519</v>
      </c>
      <c r="AG115" t="s">
        <v>56</v>
      </c>
    </row>
    <row r="116" spans="1:33" x14ac:dyDescent="0.35">
      <c r="A116">
        <v>115</v>
      </c>
      <c r="B116" t="s">
        <v>338</v>
      </c>
      <c r="C116" t="s">
        <v>338</v>
      </c>
      <c r="D116" t="s">
        <v>339</v>
      </c>
      <c r="E116" t="s">
        <v>106</v>
      </c>
      <c r="R116" t="s">
        <v>107</v>
      </c>
      <c r="AE116" s="4">
        <v>45985.798387488423</v>
      </c>
      <c r="AF116" s="4">
        <v>45985.798387488423</v>
      </c>
      <c r="AG116" t="s">
        <v>56</v>
      </c>
    </row>
    <row r="117" spans="1:33" x14ac:dyDescent="0.35">
      <c r="A117">
        <v>116</v>
      </c>
      <c r="B117" t="s">
        <v>340</v>
      </c>
      <c r="C117" t="s">
        <v>340</v>
      </c>
      <c r="D117" t="s">
        <v>341</v>
      </c>
      <c r="E117" t="s">
        <v>106</v>
      </c>
      <c r="R117" t="s">
        <v>107</v>
      </c>
      <c r="AE117" s="4">
        <v>45985.798388402778</v>
      </c>
      <c r="AF117" s="4">
        <v>45985.79838980324</v>
      </c>
      <c r="AG117" t="s">
        <v>56</v>
      </c>
    </row>
    <row r="118" spans="1:33" x14ac:dyDescent="0.35">
      <c r="A118">
        <v>117</v>
      </c>
      <c r="B118" t="s">
        <v>342</v>
      </c>
      <c r="C118" t="s">
        <v>342</v>
      </c>
      <c r="D118" t="s">
        <v>343</v>
      </c>
      <c r="E118" t="s">
        <v>106</v>
      </c>
      <c r="R118" t="s">
        <v>107</v>
      </c>
      <c r="AE118" s="4">
        <v>45985.798387453702</v>
      </c>
      <c r="AF118" s="4">
        <v>45985.798387453702</v>
      </c>
      <c r="AG118" t="s">
        <v>56</v>
      </c>
    </row>
    <row r="119" spans="1:33" x14ac:dyDescent="0.35">
      <c r="A119">
        <v>118</v>
      </c>
      <c r="B119" t="s">
        <v>344</v>
      </c>
      <c r="C119" t="s">
        <v>344</v>
      </c>
      <c r="D119" t="s">
        <v>345</v>
      </c>
      <c r="E119" t="s">
        <v>106</v>
      </c>
      <c r="R119" t="s">
        <v>107</v>
      </c>
      <c r="AE119" s="4">
        <v>45985.798387337964</v>
      </c>
      <c r="AF119" s="4">
        <v>45985.79838734954</v>
      </c>
      <c r="AG119" t="s">
        <v>56</v>
      </c>
    </row>
    <row r="120" spans="1:33" x14ac:dyDescent="0.35">
      <c r="A120">
        <v>119</v>
      </c>
      <c r="B120" t="s">
        <v>346</v>
      </c>
      <c r="C120" t="s">
        <v>346</v>
      </c>
      <c r="D120" t="s">
        <v>347</v>
      </c>
      <c r="E120" t="s">
        <v>106</v>
      </c>
      <c r="R120" t="s">
        <v>107</v>
      </c>
      <c r="AE120" s="4">
        <v>45985.798387337964</v>
      </c>
      <c r="AF120" s="4">
        <v>45985.798387337964</v>
      </c>
      <c r="AG120" t="s">
        <v>56</v>
      </c>
    </row>
    <row r="121" spans="1:33" x14ac:dyDescent="0.35">
      <c r="A121">
        <v>120</v>
      </c>
      <c r="B121" t="s">
        <v>348</v>
      </c>
      <c r="C121" t="s">
        <v>348</v>
      </c>
      <c r="D121" t="s">
        <v>349</v>
      </c>
      <c r="E121" t="s">
        <v>106</v>
      </c>
      <c r="R121" t="s">
        <v>122</v>
      </c>
      <c r="AE121" s="4">
        <v>45985.79838753472</v>
      </c>
      <c r="AF121" s="4">
        <v>45985.798388009258</v>
      </c>
      <c r="AG121" t="s">
        <v>56</v>
      </c>
    </row>
    <row r="122" spans="1:33" x14ac:dyDescent="0.35">
      <c r="A122">
        <v>121</v>
      </c>
      <c r="B122" t="s">
        <v>350</v>
      </c>
      <c r="C122" t="s">
        <v>350</v>
      </c>
      <c r="D122" t="s">
        <v>351</v>
      </c>
      <c r="R122" t="s">
        <v>107</v>
      </c>
      <c r="AE122" s="4">
        <v>45985.798390034717</v>
      </c>
      <c r="AF122" s="4">
        <v>45985.798390081021</v>
      </c>
      <c r="AG122" t="s">
        <v>56</v>
      </c>
    </row>
    <row r="123" spans="1:33" x14ac:dyDescent="0.35">
      <c r="A123">
        <v>122</v>
      </c>
      <c r="B123" t="s">
        <v>352</v>
      </c>
      <c r="C123" t="s">
        <v>352</v>
      </c>
      <c r="D123" t="s">
        <v>353</v>
      </c>
      <c r="E123" t="s">
        <v>106</v>
      </c>
      <c r="R123" t="s">
        <v>107</v>
      </c>
      <c r="AE123" s="4">
        <v>45985.798388124997</v>
      </c>
      <c r="AF123" s="4">
        <v>45985.798389791657</v>
      </c>
      <c r="AG123" t="s">
        <v>56</v>
      </c>
    </row>
    <row r="124" spans="1:33" x14ac:dyDescent="0.35">
      <c r="A124">
        <v>123</v>
      </c>
      <c r="B124" t="s">
        <v>354</v>
      </c>
      <c r="C124" t="s">
        <v>354</v>
      </c>
      <c r="D124" t="s">
        <v>355</v>
      </c>
      <c r="E124" t="s">
        <v>106</v>
      </c>
      <c r="R124" t="s">
        <v>122</v>
      </c>
      <c r="AE124" s="4">
        <v>45985.798388090283</v>
      </c>
      <c r="AF124" s="4">
        <v>45985.798388090283</v>
      </c>
      <c r="AG124" t="s">
        <v>56</v>
      </c>
    </row>
    <row r="125" spans="1:33" x14ac:dyDescent="0.35">
      <c r="A125">
        <v>124</v>
      </c>
      <c r="B125" t="s">
        <v>356</v>
      </c>
      <c r="C125" t="s">
        <v>356</v>
      </c>
      <c r="D125" t="s">
        <v>357</v>
      </c>
      <c r="E125" t="s">
        <v>106</v>
      </c>
      <c r="R125" t="s">
        <v>107</v>
      </c>
      <c r="AE125" s="4">
        <v>45985.798388645831</v>
      </c>
      <c r="AF125" s="4">
        <v>45985.798389780102</v>
      </c>
      <c r="AG125" t="s">
        <v>56</v>
      </c>
    </row>
    <row r="126" spans="1:33" x14ac:dyDescent="0.35">
      <c r="A126">
        <v>125</v>
      </c>
      <c r="B126" t="s">
        <v>358</v>
      </c>
      <c r="C126" t="s">
        <v>358</v>
      </c>
      <c r="D126" t="s">
        <v>359</v>
      </c>
      <c r="E126" t="s">
        <v>106</v>
      </c>
      <c r="R126" t="s">
        <v>107</v>
      </c>
      <c r="AE126" s="4">
        <v>45985.798387523151</v>
      </c>
      <c r="AF126" s="4">
        <v>45985.798387546303</v>
      </c>
      <c r="AG126" t="s">
        <v>56</v>
      </c>
    </row>
    <row r="127" spans="1:33" x14ac:dyDescent="0.35">
      <c r="A127">
        <v>126</v>
      </c>
      <c r="B127" t="s">
        <v>360</v>
      </c>
      <c r="C127" t="s">
        <v>360</v>
      </c>
      <c r="D127" t="s">
        <v>361</v>
      </c>
      <c r="R127" t="s">
        <v>122</v>
      </c>
      <c r="AE127" s="4">
        <v>45985.798387326387</v>
      </c>
      <c r="AF127" s="4">
        <v>45985.798387881943</v>
      </c>
      <c r="AG127" t="s">
        <v>56</v>
      </c>
    </row>
    <row r="128" spans="1:33" x14ac:dyDescent="0.35">
      <c r="A128">
        <v>127</v>
      </c>
      <c r="B128" t="s">
        <v>362</v>
      </c>
      <c r="C128" t="s">
        <v>362</v>
      </c>
      <c r="D128" t="s">
        <v>363</v>
      </c>
      <c r="R128" t="s">
        <v>107</v>
      </c>
      <c r="AE128" s="4">
        <v>45985.798387488423</v>
      </c>
      <c r="AF128" s="4">
        <v>45985.798387499999</v>
      </c>
      <c r="AG128" t="s">
        <v>56</v>
      </c>
    </row>
    <row r="129" spans="1:33" x14ac:dyDescent="0.35">
      <c r="A129">
        <v>128</v>
      </c>
      <c r="B129" t="s">
        <v>364</v>
      </c>
      <c r="C129" t="s">
        <v>364</v>
      </c>
      <c r="D129" t="s">
        <v>365</v>
      </c>
      <c r="E129" t="s">
        <v>106</v>
      </c>
      <c r="R129" t="s">
        <v>107</v>
      </c>
      <c r="AE129" s="4">
        <v>45985.798388553238</v>
      </c>
      <c r="AF129" s="4">
        <v>45985.798389780102</v>
      </c>
      <c r="AG129" t="s">
        <v>56</v>
      </c>
    </row>
    <row r="130" spans="1:33" x14ac:dyDescent="0.35">
      <c r="A130">
        <v>129</v>
      </c>
      <c r="B130" t="s">
        <v>366</v>
      </c>
      <c r="C130" t="s">
        <v>366</v>
      </c>
      <c r="D130" t="s">
        <v>367</v>
      </c>
      <c r="E130" t="s">
        <v>106</v>
      </c>
      <c r="R130" t="s">
        <v>107</v>
      </c>
      <c r="AE130" s="4">
        <v>45985.79838734954</v>
      </c>
      <c r="AF130" s="4">
        <v>45985.79838734954</v>
      </c>
      <c r="AG130" t="s">
        <v>56</v>
      </c>
    </row>
    <row r="131" spans="1:33" x14ac:dyDescent="0.35">
      <c r="A131">
        <v>130</v>
      </c>
      <c r="B131" t="s">
        <v>368</v>
      </c>
      <c r="C131" t="s">
        <v>368</v>
      </c>
      <c r="D131" t="s">
        <v>369</v>
      </c>
      <c r="E131" t="s">
        <v>106</v>
      </c>
      <c r="R131" t="s">
        <v>107</v>
      </c>
      <c r="AE131" s="4">
        <v>45985.79838738426</v>
      </c>
      <c r="AF131" s="4">
        <v>45985.798389710653</v>
      </c>
      <c r="AG131" t="s">
        <v>56</v>
      </c>
    </row>
    <row r="132" spans="1:33" x14ac:dyDescent="0.35">
      <c r="A132">
        <v>131</v>
      </c>
      <c r="B132" t="s">
        <v>370</v>
      </c>
      <c r="C132" t="s">
        <v>370</v>
      </c>
      <c r="D132" t="s">
        <v>371</v>
      </c>
      <c r="E132" t="s">
        <v>106</v>
      </c>
      <c r="R132" t="s">
        <v>122</v>
      </c>
      <c r="AE132" s="4">
        <v>45985.798387627307</v>
      </c>
      <c r="AF132" s="4">
        <v>45985.798388043979</v>
      </c>
      <c r="AG132" t="s">
        <v>56</v>
      </c>
    </row>
    <row r="133" spans="1:33" x14ac:dyDescent="0.35">
      <c r="A133">
        <v>132</v>
      </c>
      <c r="B133" t="s">
        <v>372</v>
      </c>
      <c r="C133" t="s">
        <v>372</v>
      </c>
      <c r="D133" t="s">
        <v>373</v>
      </c>
      <c r="E133" t="s">
        <v>106</v>
      </c>
      <c r="R133" t="s">
        <v>107</v>
      </c>
      <c r="AE133" s="4">
        <v>45985.798387604169</v>
      </c>
      <c r="AF133" s="4">
        <v>45985.798387604169</v>
      </c>
      <c r="AG133" t="s">
        <v>56</v>
      </c>
    </row>
    <row r="134" spans="1:33" x14ac:dyDescent="0.35">
      <c r="A134">
        <v>133</v>
      </c>
      <c r="B134" t="s">
        <v>374</v>
      </c>
      <c r="C134" t="s">
        <v>374</v>
      </c>
      <c r="D134" t="s">
        <v>375</v>
      </c>
      <c r="E134" t="s">
        <v>106</v>
      </c>
      <c r="R134" t="s">
        <v>107</v>
      </c>
      <c r="AE134" s="4">
        <v>45985.798387569441</v>
      </c>
      <c r="AF134" s="4">
        <v>45985.798387569441</v>
      </c>
      <c r="AG134" t="s">
        <v>56</v>
      </c>
    </row>
    <row r="135" spans="1:33" x14ac:dyDescent="0.35">
      <c r="A135">
        <v>134</v>
      </c>
      <c r="B135" t="s">
        <v>376</v>
      </c>
      <c r="C135" t="s">
        <v>376</v>
      </c>
      <c r="D135" t="s">
        <v>377</v>
      </c>
      <c r="E135" t="s">
        <v>106</v>
      </c>
      <c r="R135" t="s">
        <v>122</v>
      </c>
      <c r="AE135" s="4">
        <v>45985.798387442133</v>
      </c>
      <c r="AF135" s="4">
        <v>45985.798387951392</v>
      </c>
      <c r="AG135" t="s">
        <v>56</v>
      </c>
    </row>
    <row r="136" spans="1:33" x14ac:dyDescent="0.35">
      <c r="A136">
        <v>135</v>
      </c>
      <c r="B136" t="s">
        <v>378</v>
      </c>
      <c r="C136" t="s">
        <v>378</v>
      </c>
      <c r="D136" t="s">
        <v>379</v>
      </c>
      <c r="E136" t="s">
        <v>106</v>
      </c>
      <c r="R136" t="s">
        <v>107</v>
      </c>
      <c r="AE136" s="4">
        <v>45985.798388344912</v>
      </c>
      <c r="AF136" s="4">
        <v>45985.798389791657</v>
      </c>
      <c r="AG136" t="s">
        <v>56</v>
      </c>
    </row>
    <row r="137" spans="1:33" x14ac:dyDescent="0.35">
      <c r="A137">
        <v>136</v>
      </c>
      <c r="B137" t="s">
        <v>380</v>
      </c>
      <c r="C137" t="s">
        <v>380</v>
      </c>
      <c r="D137" t="s">
        <v>381</v>
      </c>
      <c r="R137" t="s">
        <v>107</v>
      </c>
      <c r="AE137" s="4">
        <v>45985.798387372677</v>
      </c>
      <c r="AF137" s="4">
        <v>45985.798389780102</v>
      </c>
      <c r="AG137" t="s">
        <v>56</v>
      </c>
    </row>
    <row r="138" spans="1:33" x14ac:dyDescent="0.35">
      <c r="A138">
        <v>137</v>
      </c>
      <c r="B138" t="s">
        <v>382</v>
      </c>
      <c r="C138" t="s">
        <v>382</v>
      </c>
      <c r="D138" t="s">
        <v>383</v>
      </c>
      <c r="R138" t="s">
        <v>107</v>
      </c>
      <c r="AE138" s="4">
        <v>45985.798387291667</v>
      </c>
      <c r="AF138" s="4">
        <v>45985.798387291667</v>
      </c>
      <c r="AG138" t="s">
        <v>56</v>
      </c>
    </row>
    <row r="139" spans="1:33" x14ac:dyDescent="0.35">
      <c r="A139">
        <v>138</v>
      </c>
      <c r="B139" t="s">
        <v>384</v>
      </c>
      <c r="C139" t="s">
        <v>384</v>
      </c>
      <c r="D139" t="s">
        <v>385</v>
      </c>
      <c r="E139" t="s">
        <v>106</v>
      </c>
      <c r="R139" t="s">
        <v>122</v>
      </c>
      <c r="AE139" s="4">
        <v>45985.798387627307</v>
      </c>
      <c r="AF139" s="4">
        <v>45985.798388043979</v>
      </c>
      <c r="AG139" t="s">
        <v>56</v>
      </c>
    </row>
    <row r="140" spans="1:33" x14ac:dyDescent="0.35">
      <c r="A140">
        <v>139</v>
      </c>
      <c r="B140" t="s">
        <v>386</v>
      </c>
      <c r="C140" t="s">
        <v>386</v>
      </c>
      <c r="D140" t="s">
        <v>387</v>
      </c>
      <c r="E140" t="s">
        <v>106</v>
      </c>
      <c r="R140" t="s">
        <v>107</v>
      </c>
      <c r="AE140" s="4">
        <v>45985.798389479169</v>
      </c>
      <c r="AF140" s="4">
        <v>45985.798389895826</v>
      </c>
      <c r="AG140" t="s">
        <v>56</v>
      </c>
    </row>
    <row r="141" spans="1:33" x14ac:dyDescent="0.35">
      <c r="A141">
        <v>140</v>
      </c>
      <c r="B141" t="s">
        <v>388</v>
      </c>
      <c r="C141" t="s">
        <v>388</v>
      </c>
      <c r="D141" t="s">
        <v>389</v>
      </c>
      <c r="E141" t="s">
        <v>106</v>
      </c>
      <c r="R141" t="s">
        <v>107</v>
      </c>
      <c r="AE141" s="4">
        <v>45985.79838724537</v>
      </c>
      <c r="AF141" s="4">
        <v>45985.79838980324</v>
      </c>
      <c r="AG141" t="s">
        <v>56</v>
      </c>
    </row>
    <row r="142" spans="1:33" x14ac:dyDescent="0.35">
      <c r="A142">
        <v>141</v>
      </c>
      <c r="B142" t="s">
        <v>390</v>
      </c>
      <c r="C142" t="s">
        <v>390</v>
      </c>
      <c r="D142" t="s">
        <v>391</v>
      </c>
      <c r="E142" t="s">
        <v>106</v>
      </c>
      <c r="R142" t="s">
        <v>122</v>
      </c>
      <c r="AE142" s="4">
        <v>45985.79838738426</v>
      </c>
      <c r="AF142" s="4">
        <v>45985.79838792824</v>
      </c>
      <c r="AG142" t="s">
        <v>56</v>
      </c>
    </row>
    <row r="143" spans="1:33" x14ac:dyDescent="0.35">
      <c r="A143">
        <v>142</v>
      </c>
      <c r="B143" t="s">
        <v>392</v>
      </c>
      <c r="C143" t="s">
        <v>392</v>
      </c>
      <c r="D143" t="s">
        <v>393</v>
      </c>
      <c r="E143" t="s">
        <v>106</v>
      </c>
      <c r="R143" t="s">
        <v>107</v>
      </c>
      <c r="AE143" s="4">
        <v>45985.798389062496</v>
      </c>
      <c r="AF143" s="4">
        <v>45985.798389722222</v>
      </c>
      <c r="AG143" t="s">
        <v>56</v>
      </c>
    </row>
    <row r="144" spans="1:33" x14ac:dyDescent="0.35">
      <c r="A144">
        <v>143</v>
      </c>
      <c r="B144" t="s">
        <v>394</v>
      </c>
      <c r="C144" t="s">
        <v>394</v>
      </c>
      <c r="D144" t="s">
        <v>395</v>
      </c>
      <c r="E144" t="s">
        <v>106</v>
      </c>
      <c r="R144" t="s">
        <v>107</v>
      </c>
      <c r="AE144" s="4">
        <v>45985.798389004631</v>
      </c>
      <c r="AF144" s="4">
        <v>45985.798389733798</v>
      </c>
      <c r="AG144" t="s">
        <v>56</v>
      </c>
    </row>
    <row r="145" spans="1:33" x14ac:dyDescent="0.35">
      <c r="A145">
        <v>144</v>
      </c>
      <c r="B145" t="s">
        <v>396</v>
      </c>
      <c r="C145" t="s">
        <v>396</v>
      </c>
      <c r="D145" t="s">
        <v>397</v>
      </c>
      <c r="E145" t="s">
        <v>106</v>
      </c>
      <c r="R145" t="s">
        <v>107</v>
      </c>
      <c r="AE145" s="4">
        <v>45985.79838724537</v>
      </c>
      <c r="AF145" s="4">
        <v>45985.798389965283</v>
      </c>
      <c r="AG145" t="s">
        <v>56</v>
      </c>
    </row>
    <row r="146" spans="1:33" x14ac:dyDescent="0.35">
      <c r="A146">
        <v>145</v>
      </c>
      <c r="B146" t="s">
        <v>398</v>
      </c>
      <c r="C146" t="s">
        <v>398</v>
      </c>
      <c r="D146" t="s">
        <v>399</v>
      </c>
      <c r="E146" t="s">
        <v>106</v>
      </c>
      <c r="R146" t="s">
        <v>107</v>
      </c>
      <c r="AE146" s="4">
        <v>45985.798389004631</v>
      </c>
      <c r="AF146" s="4">
        <v>45985.798389745367</v>
      </c>
      <c r="AG146" t="s">
        <v>56</v>
      </c>
    </row>
    <row r="147" spans="1:33" x14ac:dyDescent="0.35">
      <c r="A147">
        <v>146</v>
      </c>
      <c r="B147" t="s">
        <v>400</v>
      </c>
      <c r="C147" t="s">
        <v>400</v>
      </c>
      <c r="D147" t="s">
        <v>401</v>
      </c>
      <c r="AE147" s="4">
        <v>45985.798389768519</v>
      </c>
      <c r="AF147" s="4">
        <v>45985.798389768519</v>
      </c>
      <c r="AG147" t="s">
        <v>56</v>
      </c>
    </row>
    <row r="148" spans="1:33" x14ac:dyDescent="0.35">
      <c r="A148">
        <v>147</v>
      </c>
      <c r="B148" t="s">
        <v>402</v>
      </c>
      <c r="C148" t="s">
        <v>402</v>
      </c>
      <c r="D148" t="s">
        <v>403</v>
      </c>
      <c r="E148" t="s">
        <v>106</v>
      </c>
      <c r="R148" t="s">
        <v>107</v>
      </c>
      <c r="AE148" s="4">
        <v>45985.798387731476</v>
      </c>
      <c r="AF148" s="4">
        <v>45985.798389861113</v>
      </c>
      <c r="AG148" t="s">
        <v>56</v>
      </c>
    </row>
    <row r="149" spans="1:33" x14ac:dyDescent="0.35">
      <c r="A149">
        <v>148</v>
      </c>
      <c r="B149" t="s">
        <v>404</v>
      </c>
      <c r="C149" t="s">
        <v>404</v>
      </c>
      <c r="D149" t="s">
        <v>405</v>
      </c>
      <c r="AE149" s="4">
        <v>45985.798389699077</v>
      </c>
      <c r="AF149" s="4">
        <v>45985.798389699077</v>
      </c>
      <c r="AG149" t="s">
        <v>56</v>
      </c>
    </row>
    <row r="150" spans="1:33" x14ac:dyDescent="0.35">
      <c r="A150">
        <v>149</v>
      </c>
      <c r="B150" t="s">
        <v>406</v>
      </c>
      <c r="C150" t="s">
        <v>406</v>
      </c>
      <c r="D150" t="s">
        <v>407</v>
      </c>
      <c r="E150" t="s">
        <v>106</v>
      </c>
      <c r="R150" t="s">
        <v>107</v>
      </c>
      <c r="AE150" s="4">
        <v>45985.798388240742</v>
      </c>
      <c r="AF150" s="4">
        <v>45985.79838980324</v>
      </c>
      <c r="AG150" t="s">
        <v>56</v>
      </c>
    </row>
    <row r="151" spans="1:33" x14ac:dyDescent="0.35">
      <c r="A151">
        <v>150</v>
      </c>
      <c r="B151" t="s">
        <v>408</v>
      </c>
      <c r="C151" t="s">
        <v>408</v>
      </c>
      <c r="D151" t="s">
        <v>409</v>
      </c>
      <c r="E151" t="s">
        <v>106</v>
      </c>
      <c r="R151" t="s">
        <v>107</v>
      </c>
      <c r="AE151" s="4">
        <v>45985.798388587973</v>
      </c>
      <c r="AF151" s="4">
        <v>45985.79838965278</v>
      </c>
      <c r="AG151" t="s">
        <v>56</v>
      </c>
    </row>
    <row r="152" spans="1:33" x14ac:dyDescent="0.35">
      <c r="A152">
        <v>151</v>
      </c>
      <c r="B152" t="s">
        <v>410</v>
      </c>
      <c r="C152" t="s">
        <v>410</v>
      </c>
      <c r="D152" t="s">
        <v>411</v>
      </c>
      <c r="E152" t="s">
        <v>106</v>
      </c>
      <c r="R152" t="s">
        <v>107</v>
      </c>
      <c r="AE152" s="4">
        <v>45985.798387777781</v>
      </c>
      <c r="AF152" s="4">
        <v>45985.798387777781</v>
      </c>
      <c r="AG152" t="s">
        <v>56</v>
      </c>
    </row>
    <row r="153" spans="1:33" x14ac:dyDescent="0.35">
      <c r="A153">
        <v>152</v>
      </c>
      <c r="B153" t="s">
        <v>412</v>
      </c>
      <c r="C153" t="s">
        <v>412</v>
      </c>
      <c r="D153" t="s">
        <v>413</v>
      </c>
      <c r="E153" t="s">
        <v>106</v>
      </c>
      <c r="R153" t="s">
        <v>107</v>
      </c>
      <c r="AE153" s="4">
        <v>45985.798388518517</v>
      </c>
      <c r="AF153" s="4">
        <v>45985.798389768519</v>
      </c>
      <c r="AG153" t="s">
        <v>56</v>
      </c>
    </row>
    <row r="154" spans="1:33" x14ac:dyDescent="0.35">
      <c r="A154">
        <v>153</v>
      </c>
      <c r="B154" t="s">
        <v>414</v>
      </c>
      <c r="C154" t="s">
        <v>414</v>
      </c>
      <c r="D154" t="s">
        <v>415</v>
      </c>
      <c r="E154" t="s">
        <v>106</v>
      </c>
      <c r="R154" t="s">
        <v>107</v>
      </c>
      <c r="AE154" s="4">
        <v>45985.798389085649</v>
      </c>
      <c r="AF154" s="4">
        <v>45985.798389722222</v>
      </c>
      <c r="AG154" t="s">
        <v>56</v>
      </c>
    </row>
    <row r="155" spans="1:33" x14ac:dyDescent="0.35">
      <c r="A155">
        <v>154</v>
      </c>
      <c r="B155" t="s">
        <v>416</v>
      </c>
      <c r="C155" t="s">
        <v>416</v>
      </c>
      <c r="D155" t="s">
        <v>417</v>
      </c>
      <c r="E155" t="s">
        <v>106</v>
      </c>
      <c r="R155" t="s">
        <v>107</v>
      </c>
      <c r="AE155" s="4">
        <v>45985.798389386568</v>
      </c>
      <c r="AF155" s="4">
        <v>45985.798389965283</v>
      </c>
      <c r="AG155" t="s">
        <v>56</v>
      </c>
    </row>
    <row r="156" spans="1:33" x14ac:dyDescent="0.35">
      <c r="A156">
        <v>155</v>
      </c>
      <c r="B156" t="s">
        <v>418</v>
      </c>
      <c r="C156" t="s">
        <v>418</v>
      </c>
      <c r="D156" t="s">
        <v>419</v>
      </c>
      <c r="E156" t="s">
        <v>106</v>
      </c>
      <c r="R156" t="s">
        <v>107</v>
      </c>
      <c r="AE156" s="4">
        <v>45985.798388541669</v>
      </c>
      <c r="AF156" s="4">
        <v>45985.798390000004</v>
      </c>
      <c r="AG156" t="s">
        <v>56</v>
      </c>
    </row>
    <row r="157" spans="1:33" x14ac:dyDescent="0.35">
      <c r="A157">
        <v>156</v>
      </c>
      <c r="B157" t="s">
        <v>420</v>
      </c>
      <c r="C157" t="s">
        <v>420</v>
      </c>
      <c r="D157" t="s">
        <v>421</v>
      </c>
      <c r="E157" t="s">
        <v>106</v>
      </c>
      <c r="R157" t="s">
        <v>107</v>
      </c>
      <c r="AE157" s="4">
        <v>45985.798388611111</v>
      </c>
      <c r="AF157" s="4">
        <v>45985.798389780102</v>
      </c>
      <c r="AG157" t="s">
        <v>56</v>
      </c>
    </row>
    <row r="158" spans="1:33" x14ac:dyDescent="0.35">
      <c r="A158">
        <v>157</v>
      </c>
      <c r="B158" t="s">
        <v>422</v>
      </c>
      <c r="C158" t="s">
        <v>422</v>
      </c>
      <c r="D158" t="s">
        <v>423</v>
      </c>
      <c r="E158" t="s">
        <v>106</v>
      </c>
      <c r="R158" t="s">
        <v>107</v>
      </c>
      <c r="AE158" s="4">
        <v>45985.798387812501</v>
      </c>
      <c r="AF158" s="4">
        <v>45985.798389768519</v>
      </c>
      <c r="AG158" t="s">
        <v>56</v>
      </c>
    </row>
    <row r="159" spans="1:33" x14ac:dyDescent="0.35">
      <c r="A159">
        <v>158</v>
      </c>
      <c r="B159" t="s">
        <v>424</v>
      </c>
      <c r="C159" t="s">
        <v>424</v>
      </c>
      <c r="D159" t="s">
        <v>425</v>
      </c>
      <c r="E159" t="s">
        <v>106</v>
      </c>
      <c r="R159" t="s">
        <v>107</v>
      </c>
      <c r="AE159" s="4">
        <v>45985.798388692128</v>
      </c>
      <c r="AF159" s="4">
        <v>45985.798389780102</v>
      </c>
      <c r="AG159" t="s">
        <v>56</v>
      </c>
    </row>
    <row r="160" spans="1:33" x14ac:dyDescent="0.35">
      <c r="A160">
        <v>159</v>
      </c>
      <c r="B160" t="s">
        <v>426</v>
      </c>
      <c r="C160" t="s">
        <v>426</v>
      </c>
      <c r="D160" t="s">
        <v>427</v>
      </c>
      <c r="R160" t="s">
        <v>107</v>
      </c>
      <c r="AE160" s="4">
        <v>45985.798390000004</v>
      </c>
      <c r="AF160" s="4">
        <v>45985.798390000004</v>
      </c>
      <c r="AG160" t="s">
        <v>56</v>
      </c>
    </row>
    <row r="161" spans="1:33" x14ac:dyDescent="0.35">
      <c r="A161">
        <v>160</v>
      </c>
      <c r="B161" t="s">
        <v>428</v>
      </c>
      <c r="C161" t="s">
        <v>428</v>
      </c>
      <c r="D161" t="s">
        <v>429</v>
      </c>
      <c r="E161" t="s">
        <v>106</v>
      </c>
      <c r="R161" t="s">
        <v>107</v>
      </c>
      <c r="AE161" s="4">
        <v>45985.798388379633</v>
      </c>
      <c r="AF161" s="4">
        <v>45985.79838980324</v>
      </c>
      <c r="AG161" t="s">
        <v>56</v>
      </c>
    </row>
    <row r="162" spans="1:33" x14ac:dyDescent="0.35">
      <c r="A162">
        <v>161</v>
      </c>
      <c r="B162" t="s">
        <v>430</v>
      </c>
      <c r="C162" t="s">
        <v>430</v>
      </c>
      <c r="D162" t="s">
        <v>431</v>
      </c>
      <c r="AE162" s="4">
        <v>45985.798389826392</v>
      </c>
      <c r="AF162" s="4">
        <v>45985.798389826392</v>
      </c>
      <c r="AG162" t="s">
        <v>56</v>
      </c>
    </row>
    <row r="163" spans="1:33" x14ac:dyDescent="0.35">
      <c r="A163">
        <v>162</v>
      </c>
      <c r="B163" t="s">
        <v>432</v>
      </c>
      <c r="C163" t="s">
        <v>432</v>
      </c>
      <c r="D163" t="s">
        <v>433</v>
      </c>
      <c r="E163" t="s">
        <v>106</v>
      </c>
      <c r="R163" t="s">
        <v>122</v>
      </c>
      <c r="AE163" s="4">
        <v>45985.79838724537</v>
      </c>
      <c r="AF163" s="4">
        <v>45985.798389976851</v>
      </c>
      <c r="AG163" t="s">
        <v>56</v>
      </c>
    </row>
    <row r="164" spans="1:33" x14ac:dyDescent="0.35">
      <c r="A164">
        <v>163</v>
      </c>
      <c r="B164" t="s">
        <v>434</v>
      </c>
      <c r="C164" t="s">
        <v>434</v>
      </c>
      <c r="D164" t="s">
        <v>435</v>
      </c>
      <c r="E164" t="s">
        <v>106</v>
      </c>
      <c r="R164" t="s">
        <v>107</v>
      </c>
      <c r="AE164" s="4">
        <v>45985.798387511582</v>
      </c>
      <c r="AF164" s="4">
        <v>45985.798387511582</v>
      </c>
      <c r="AG164" t="s">
        <v>56</v>
      </c>
    </row>
    <row r="165" spans="1:33" x14ac:dyDescent="0.35">
      <c r="A165">
        <v>164</v>
      </c>
      <c r="B165" t="s">
        <v>436</v>
      </c>
      <c r="C165" t="s">
        <v>436</v>
      </c>
      <c r="D165" t="s">
        <v>437</v>
      </c>
      <c r="E165" t="s">
        <v>106</v>
      </c>
      <c r="R165" t="s">
        <v>107</v>
      </c>
      <c r="AE165" s="4">
        <v>45985.798387511582</v>
      </c>
      <c r="AF165" s="4">
        <v>45985.798387511582</v>
      </c>
      <c r="AG165" t="s">
        <v>56</v>
      </c>
    </row>
    <row r="166" spans="1:33" x14ac:dyDescent="0.35">
      <c r="A166">
        <v>165</v>
      </c>
      <c r="B166" t="s">
        <v>438</v>
      </c>
      <c r="C166" t="s">
        <v>438</v>
      </c>
      <c r="D166" t="s">
        <v>439</v>
      </c>
      <c r="R166" t="s">
        <v>107</v>
      </c>
      <c r="AE166" s="4">
        <v>45985.79838940972</v>
      </c>
      <c r="AF166" s="4">
        <v>45985.798390069453</v>
      </c>
      <c r="AG166" t="s">
        <v>56</v>
      </c>
    </row>
    <row r="167" spans="1:33" x14ac:dyDescent="0.35">
      <c r="A167">
        <v>166</v>
      </c>
      <c r="B167" t="s">
        <v>440</v>
      </c>
      <c r="C167" t="s">
        <v>440</v>
      </c>
      <c r="D167" t="s">
        <v>441</v>
      </c>
      <c r="E167" t="s">
        <v>106</v>
      </c>
      <c r="R167" t="s">
        <v>122</v>
      </c>
      <c r="AE167" s="4">
        <v>45985.79838753472</v>
      </c>
      <c r="AF167" s="4">
        <v>45985.798388043979</v>
      </c>
      <c r="AG167" t="s">
        <v>56</v>
      </c>
    </row>
    <row r="168" spans="1:33" x14ac:dyDescent="0.35">
      <c r="A168">
        <v>167</v>
      </c>
      <c r="B168" t="s">
        <v>442</v>
      </c>
      <c r="C168" t="s">
        <v>442</v>
      </c>
      <c r="D168" t="s">
        <v>443</v>
      </c>
      <c r="E168" t="s">
        <v>106</v>
      </c>
      <c r="R168" t="s">
        <v>107</v>
      </c>
      <c r="AE168" s="4">
        <v>45985.798387476847</v>
      </c>
      <c r="AF168" s="4">
        <v>45985.798389988428</v>
      </c>
      <c r="AG168" t="s">
        <v>56</v>
      </c>
    </row>
    <row r="169" spans="1:33" x14ac:dyDescent="0.35">
      <c r="A169">
        <v>168</v>
      </c>
      <c r="B169" t="s">
        <v>444</v>
      </c>
      <c r="C169" t="s">
        <v>444</v>
      </c>
      <c r="D169" t="s">
        <v>445</v>
      </c>
      <c r="R169" t="s">
        <v>107</v>
      </c>
      <c r="AE169" s="4">
        <v>45985.79838940972</v>
      </c>
      <c r="AF169" s="4">
        <v>45985.798389965283</v>
      </c>
      <c r="AG169" t="s">
        <v>56</v>
      </c>
    </row>
    <row r="170" spans="1:33" x14ac:dyDescent="0.35">
      <c r="A170">
        <v>169</v>
      </c>
      <c r="B170" t="s">
        <v>446</v>
      </c>
      <c r="C170" t="s">
        <v>446</v>
      </c>
      <c r="D170" t="s">
        <v>447</v>
      </c>
      <c r="E170" t="s">
        <v>447</v>
      </c>
      <c r="R170" t="s">
        <v>107</v>
      </c>
      <c r="AE170" s="4">
        <v>45985.798387870367</v>
      </c>
      <c r="AF170" s="4">
        <v>45985.798389780102</v>
      </c>
      <c r="AG170" t="s">
        <v>56</v>
      </c>
    </row>
    <row r="171" spans="1:33" x14ac:dyDescent="0.35">
      <c r="A171">
        <v>170</v>
      </c>
      <c r="B171" t="s">
        <v>448</v>
      </c>
      <c r="C171" t="s">
        <v>448</v>
      </c>
      <c r="D171" t="s">
        <v>449</v>
      </c>
      <c r="E171" t="s">
        <v>106</v>
      </c>
      <c r="R171" t="s">
        <v>107</v>
      </c>
      <c r="AE171" s="4">
        <v>45985.798388136573</v>
      </c>
      <c r="AF171" s="4">
        <v>45985.79838965278</v>
      </c>
      <c r="AG171" t="s">
        <v>56</v>
      </c>
    </row>
    <row r="172" spans="1:33" x14ac:dyDescent="0.35">
      <c r="A172">
        <v>171</v>
      </c>
      <c r="B172" t="s">
        <v>450</v>
      </c>
      <c r="C172" t="s">
        <v>450</v>
      </c>
      <c r="D172" t="s">
        <v>451</v>
      </c>
      <c r="E172" t="s">
        <v>452</v>
      </c>
      <c r="R172" t="s">
        <v>107</v>
      </c>
      <c r="AE172" s="4">
        <v>45985.798389004631</v>
      </c>
      <c r="AF172" s="4">
        <v>45985.798389745367</v>
      </c>
      <c r="AG172" t="s">
        <v>56</v>
      </c>
    </row>
    <row r="173" spans="1:33" x14ac:dyDescent="0.35">
      <c r="A173">
        <v>172</v>
      </c>
      <c r="B173" t="s">
        <v>453</v>
      </c>
      <c r="C173" t="s">
        <v>453</v>
      </c>
      <c r="D173" t="s">
        <v>454</v>
      </c>
      <c r="E173" t="s">
        <v>106</v>
      </c>
      <c r="R173" t="s">
        <v>107</v>
      </c>
      <c r="AE173" s="4">
        <v>45985.79838724537</v>
      </c>
      <c r="AF173" s="4">
        <v>45985.798389780102</v>
      </c>
      <c r="AG173" t="s">
        <v>56</v>
      </c>
    </row>
    <row r="174" spans="1:33" x14ac:dyDescent="0.35">
      <c r="A174">
        <v>173</v>
      </c>
      <c r="B174" t="s">
        <v>455</v>
      </c>
      <c r="C174" t="s">
        <v>455</v>
      </c>
      <c r="D174" t="s">
        <v>456</v>
      </c>
      <c r="E174" t="s">
        <v>106</v>
      </c>
      <c r="R174" t="s">
        <v>107</v>
      </c>
      <c r="AE174" s="4">
        <v>45985.798388692128</v>
      </c>
      <c r="AF174" s="4">
        <v>45985.798389780102</v>
      </c>
      <c r="AG174" t="s">
        <v>56</v>
      </c>
    </row>
    <row r="175" spans="1:33" x14ac:dyDescent="0.35">
      <c r="A175">
        <v>174</v>
      </c>
      <c r="B175" t="s">
        <v>457</v>
      </c>
      <c r="C175" t="s">
        <v>457</v>
      </c>
      <c r="D175" t="s">
        <v>458</v>
      </c>
      <c r="E175" t="s">
        <v>459</v>
      </c>
      <c r="R175" t="s">
        <v>122</v>
      </c>
      <c r="AE175" s="4">
        <v>45985.798389027783</v>
      </c>
      <c r="AF175" s="4">
        <v>45985.798389745367</v>
      </c>
      <c r="AG175" t="s">
        <v>56</v>
      </c>
    </row>
    <row r="176" spans="1:33" x14ac:dyDescent="0.35">
      <c r="A176">
        <v>175</v>
      </c>
      <c r="B176" t="s">
        <v>460</v>
      </c>
      <c r="C176" t="s">
        <v>460</v>
      </c>
      <c r="D176" t="s">
        <v>461</v>
      </c>
      <c r="E176" t="s">
        <v>462</v>
      </c>
      <c r="R176" t="s">
        <v>122</v>
      </c>
      <c r="AE176" s="4">
        <v>45985.798389884258</v>
      </c>
      <c r="AF176" s="4">
        <v>45985.798389884258</v>
      </c>
      <c r="AG176" t="s">
        <v>56</v>
      </c>
    </row>
    <row r="177" spans="1:33" x14ac:dyDescent="0.35">
      <c r="A177">
        <v>176</v>
      </c>
      <c r="B177" t="s">
        <v>463</v>
      </c>
      <c r="C177" t="s">
        <v>463</v>
      </c>
      <c r="D177" t="s">
        <v>464</v>
      </c>
      <c r="E177" t="s">
        <v>465</v>
      </c>
      <c r="R177" t="s">
        <v>122</v>
      </c>
      <c r="AE177" s="4">
        <v>45985.798388946758</v>
      </c>
      <c r="AF177" s="4">
        <v>45985.798389733798</v>
      </c>
      <c r="AG177" t="s">
        <v>56</v>
      </c>
    </row>
    <row r="178" spans="1:33" x14ac:dyDescent="0.35">
      <c r="A178">
        <v>177</v>
      </c>
      <c r="B178" t="s">
        <v>466</v>
      </c>
      <c r="C178" t="s">
        <v>466</v>
      </c>
      <c r="D178" t="s">
        <v>467</v>
      </c>
      <c r="E178" t="s">
        <v>468</v>
      </c>
      <c r="R178" t="s">
        <v>107</v>
      </c>
      <c r="AE178" s="4">
        <v>45985.798388495372</v>
      </c>
      <c r="AF178" s="4">
        <v>45985.79838980324</v>
      </c>
      <c r="AG178" t="s">
        <v>56</v>
      </c>
    </row>
    <row r="179" spans="1:33" x14ac:dyDescent="0.35">
      <c r="A179">
        <v>178</v>
      </c>
      <c r="B179" t="s">
        <v>469</v>
      </c>
      <c r="C179" t="s">
        <v>469</v>
      </c>
      <c r="D179" t="s">
        <v>470</v>
      </c>
      <c r="E179" t="s">
        <v>106</v>
      </c>
      <c r="R179" t="s">
        <v>107</v>
      </c>
      <c r="AE179" s="4">
        <v>45985.798389351847</v>
      </c>
      <c r="AF179" s="4">
        <v>45985.798389664349</v>
      </c>
      <c r="AG179" t="s">
        <v>56</v>
      </c>
    </row>
    <row r="180" spans="1:33" x14ac:dyDescent="0.35">
      <c r="A180">
        <v>179</v>
      </c>
      <c r="B180" t="s">
        <v>471</v>
      </c>
      <c r="C180" t="s">
        <v>471</v>
      </c>
      <c r="D180" t="s">
        <v>472</v>
      </c>
      <c r="E180" t="s">
        <v>473</v>
      </c>
      <c r="R180" t="s">
        <v>122</v>
      </c>
      <c r="AE180" s="4">
        <v>45985.798387743052</v>
      </c>
      <c r="AF180" s="4">
        <v>45985.798388078707</v>
      </c>
      <c r="AG180" t="s">
        <v>56</v>
      </c>
    </row>
    <row r="181" spans="1:33" x14ac:dyDescent="0.35">
      <c r="A181">
        <v>180</v>
      </c>
      <c r="B181" t="s">
        <v>61</v>
      </c>
      <c r="C181" t="s">
        <v>61</v>
      </c>
      <c r="AE181" s="4">
        <v>45985.798389618052</v>
      </c>
      <c r="AF181" s="4">
        <v>45985.798389618052</v>
      </c>
      <c r="AG181" t="s">
        <v>56</v>
      </c>
    </row>
    <row r="182" spans="1:33" x14ac:dyDescent="0.35">
      <c r="A182">
        <v>181</v>
      </c>
      <c r="B182" t="s">
        <v>474</v>
      </c>
      <c r="C182" t="s">
        <v>474</v>
      </c>
      <c r="D182" t="s">
        <v>475</v>
      </c>
      <c r="AE182" s="4">
        <v>45985.798389826392</v>
      </c>
      <c r="AF182" s="4">
        <v>45985.798389826392</v>
      </c>
      <c r="AG182" t="s">
        <v>56</v>
      </c>
    </row>
    <row r="183" spans="1:33" x14ac:dyDescent="0.35">
      <c r="A183">
        <v>182</v>
      </c>
      <c r="B183" t="s">
        <v>476</v>
      </c>
      <c r="C183" t="s">
        <v>476</v>
      </c>
      <c r="D183" t="s">
        <v>477</v>
      </c>
      <c r="E183" t="s">
        <v>106</v>
      </c>
      <c r="R183" t="s">
        <v>107</v>
      </c>
      <c r="AE183" s="4">
        <v>45985.798388599527</v>
      </c>
      <c r="AF183" s="4">
        <v>45985.798389710653</v>
      </c>
      <c r="AG183" t="s">
        <v>56</v>
      </c>
    </row>
    <row r="184" spans="1:33" x14ac:dyDescent="0.35">
      <c r="A184">
        <v>183</v>
      </c>
      <c r="B184" t="s">
        <v>478</v>
      </c>
      <c r="C184" t="s">
        <v>478</v>
      </c>
      <c r="D184" t="s">
        <v>479</v>
      </c>
      <c r="E184" t="s">
        <v>106</v>
      </c>
      <c r="R184" t="s">
        <v>107</v>
      </c>
      <c r="AE184" s="4">
        <v>45985.798389062496</v>
      </c>
      <c r="AF184" s="4">
        <v>45985.798389722222</v>
      </c>
      <c r="AG184" t="s">
        <v>56</v>
      </c>
    </row>
    <row r="185" spans="1:33" x14ac:dyDescent="0.35">
      <c r="A185">
        <v>184</v>
      </c>
      <c r="B185" t="s">
        <v>480</v>
      </c>
      <c r="C185" t="s">
        <v>480</v>
      </c>
      <c r="D185" t="s">
        <v>481</v>
      </c>
      <c r="E185" t="s">
        <v>482</v>
      </c>
      <c r="R185" t="s">
        <v>107</v>
      </c>
      <c r="AE185" s="4">
        <v>45985.79838857639</v>
      </c>
      <c r="AF185" s="4">
        <v>45985.798389918979</v>
      </c>
      <c r="AG185" t="s">
        <v>56</v>
      </c>
    </row>
    <row r="186" spans="1:33" x14ac:dyDescent="0.35">
      <c r="A186">
        <v>185</v>
      </c>
      <c r="B186" t="s">
        <v>483</v>
      </c>
      <c r="C186" t="s">
        <v>483</v>
      </c>
      <c r="D186" t="s">
        <v>484</v>
      </c>
      <c r="R186" t="s">
        <v>107</v>
      </c>
      <c r="AE186" s="4">
        <v>45985.79838954861</v>
      </c>
      <c r="AF186" s="4">
        <v>45985.798390057869</v>
      </c>
      <c r="AG186" t="s">
        <v>56</v>
      </c>
    </row>
    <row r="187" spans="1:33" x14ac:dyDescent="0.35">
      <c r="A187">
        <v>186</v>
      </c>
      <c r="B187" t="s">
        <v>485</v>
      </c>
      <c r="C187" t="s">
        <v>485</v>
      </c>
      <c r="D187" t="s">
        <v>486</v>
      </c>
      <c r="E187" t="s">
        <v>487</v>
      </c>
      <c r="R187" t="s">
        <v>107</v>
      </c>
      <c r="AE187" s="4">
        <v>45985.798387696763</v>
      </c>
      <c r="AF187" s="4">
        <v>45985.798389849537</v>
      </c>
      <c r="AG187" t="s">
        <v>56</v>
      </c>
    </row>
    <row r="188" spans="1:33" x14ac:dyDescent="0.35">
      <c r="A188">
        <v>187</v>
      </c>
      <c r="B188" t="s">
        <v>488</v>
      </c>
      <c r="C188" t="s">
        <v>488</v>
      </c>
      <c r="D188" t="s">
        <v>489</v>
      </c>
      <c r="E188" t="s">
        <v>211</v>
      </c>
      <c r="R188" t="s">
        <v>107</v>
      </c>
      <c r="AE188" s="4">
        <v>45985.79838925926</v>
      </c>
      <c r="AF188" s="4">
        <v>45985.798389675932</v>
      </c>
      <c r="AG188" t="s">
        <v>56</v>
      </c>
    </row>
    <row r="189" spans="1:33" x14ac:dyDescent="0.35">
      <c r="A189">
        <v>188</v>
      </c>
      <c r="B189" t="s">
        <v>490</v>
      </c>
      <c r="C189" t="s">
        <v>490</v>
      </c>
      <c r="D189" t="s">
        <v>491</v>
      </c>
      <c r="R189" t="s">
        <v>107</v>
      </c>
      <c r="AE189" s="4">
        <v>45985.798389629628</v>
      </c>
      <c r="AF189" s="4">
        <v>45985.798389918979</v>
      </c>
      <c r="AG189" t="s">
        <v>56</v>
      </c>
    </row>
    <row r="190" spans="1:33" x14ac:dyDescent="0.35">
      <c r="A190">
        <v>189</v>
      </c>
      <c r="B190" t="s">
        <v>492</v>
      </c>
      <c r="C190" t="s">
        <v>492</v>
      </c>
      <c r="D190" t="s">
        <v>493</v>
      </c>
      <c r="R190" t="s">
        <v>107</v>
      </c>
      <c r="AE190" s="4">
        <v>45985.79838951389</v>
      </c>
      <c r="AF190" s="4">
        <v>45985.798390081021</v>
      </c>
      <c r="AG190" t="s">
        <v>56</v>
      </c>
    </row>
    <row r="191" spans="1:33" x14ac:dyDescent="0.35">
      <c r="A191">
        <v>190</v>
      </c>
      <c r="B191" t="s">
        <v>494</v>
      </c>
      <c r="C191" t="s">
        <v>494</v>
      </c>
      <c r="D191" t="s">
        <v>495</v>
      </c>
      <c r="R191" t="s">
        <v>107</v>
      </c>
      <c r="AE191" s="4">
        <v>45985.798389444448</v>
      </c>
      <c r="AF191" s="4">
        <v>45985.798389641197</v>
      </c>
      <c r="AG191" t="s">
        <v>56</v>
      </c>
    </row>
    <row r="192" spans="1:33" x14ac:dyDescent="0.35">
      <c r="A192">
        <v>191</v>
      </c>
      <c r="B192" t="s">
        <v>496</v>
      </c>
      <c r="C192" t="s">
        <v>496</v>
      </c>
      <c r="D192" t="s">
        <v>497</v>
      </c>
      <c r="AE192" s="4">
        <v>45985.798389814823</v>
      </c>
      <c r="AF192" s="4">
        <v>45985.798389814823</v>
      </c>
      <c r="AG192" t="s">
        <v>56</v>
      </c>
    </row>
    <row r="193" spans="1:33" x14ac:dyDescent="0.35">
      <c r="A193">
        <v>192</v>
      </c>
      <c r="B193" t="s">
        <v>498</v>
      </c>
      <c r="C193" t="s">
        <v>498</v>
      </c>
      <c r="D193" t="s">
        <v>499</v>
      </c>
      <c r="AE193" s="4">
        <v>45985.798389814823</v>
      </c>
      <c r="AF193" s="4">
        <v>45985.798389814823</v>
      </c>
      <c r="AG193" t="s">
        <v>56</v>
      </c>
    </row>
    <row r="194" spans="1:33" x14ac:dyDescent="0.35">
      <c r="A194">
        <v>193</v>
      </c>
      <c r="B194" t="s">
        <v>500</v>
      </c>
      <c r="C194" t="s">
        <v>500</v>
      </c>
      <c r="D194" t="s">
        <v>501</v>
      </c>
      <c r="E194" t="s">
        <v>502</v>
      </c>
      <c r="R194" t="s">
        <v>107</v>
      </c>
      <c r="AE194" s="4">
        <v>45985.79838818287</v>
      </c>
      <c r="AF194" s="4">
        <v>45985.79838980324</v>
      </c>
      <c r="AG194" t="s">
        <v>56</v>
      </c>
    </row>
    <row r="195" spans="1:33" x14ac:dyDescent="0.35">
      <c r="A195">
        <v>194</v>
      </c>
      <c r="B195" t="s">
        <v>503</v>
      </c>
      <c r="C195" t="s">
        <v>503</v>
      </c>
      <c r="D195" t="s">
        <v>504</v>
      </c>
      <c r="E195" t="s">
        <v>505</v>
      </c>
      <c r="R195" t="s">
        <v>107</v>
      </c>
      <c r="AE195" s="4">
        <v>45985.798388692128</v>
      </c>
      <c r="AF195" s="4">
        <v>45985.79838990741</v>
      </c>
      <c r="AG195" t="s">
        <v>56</v>
      </c>
    </row>
    <row r="196" spans="1:33" x14ac:dyDescent="0.35">
      <c r="A196">
        <v>195</v>
      </c>
      <c r="B196" t="s">
        <v>506</v>
      </c>
      <c r="C196" t="s">
        <v>506</v>
      </c>
      <c r="D196" t="s">
        <v>507</v>
      </c>
      <c r="E196" t="s">
        <v>106</v>
      </c>
      <c r="R196" t="s">
        <v>107</v>
      </c>
      <c r="AE196" s="4">
        <v>45985.798388877323</v>
      </c>
      <c r="AF196" s="4">
        <v>45985.798389756943</v>
      </c>
      <c r="AG196" t="s">
        <v>56</v>
      </c>
    </row>
    <row r="197" spans="1:33" x14ac:dyDescent="0.35">
      <c r="A197">
        <v>196</v>
      </c>
      <c r="B197" t="s">
        <v>508</v>
      </c>
      <c r="C197" t="s">
        <v>508</v>
      </c>
      <c r="D197" t="s">
        <v>509</v>
      </c>
      <c r="E197" t="s">
        <v>510</v>
      </c>
      <c r="R197" t="s">
        <v>107</v>
      </c>
      <c r="AE197" s="4">
        <v>45985.798387280091</v>
      </c>
      <c r="AF197" s="4">
        <v>45985.798387280091</v>
      </c>
      <c r="AG197" t="s">
        <v>56</v>
      </c>
    </row>
    <row r="198" spans="1:33" x14ac:dyDescent="0.35">
      <c r="A198">
        <v>197</v>
      </c>
      <c r="B198" t="s">
        <v>511</v>
      </c>
      <c r="C198" t="s">
        <v>511</v>
      </c>
      <c r="D198" t="s">
        <v>512</v>
      </c>
      <c r="E198" t="s">
        <v>513</v>
      </c>
      <c r="R198" t="s">
        <v>107</v>
      </c>
      <c r="AE198" s="4">
        <v>45985.798388460651</v>
      </c>
      <c r="AF198" s="4">
        <v>45985.798389791657</v>
      </c>
      <c r="AG198" t="s">
        <v>56</v>
      </c>
    </row>
    <row r="199" spans="1:33" x14ac:dyDescent="0.35">
      <c r="A199">
        <v>198</v>
      </c>
      <c r="B199" t="s">
        <v>514</v>
      </c>
      <c r="C199" t="s">
        <v>514</v>
      </c>
      <c r="D199" t="s">
        <v>515</v>
      </c>
      <c r="E199" t="s">
        <v>516</v>
      </c>
      <c r="R199" t="s">
        <v>107</v>
      </c>
      <c r="AE199" s="4">
        <v>45985.798389016207</v>
      </c>
      <c r="AF199" s="4">
        <v>45985.798390000004</v>
      </c>
      <c r="AG199" t="s">
        <v>56</v>
      </c>
    </row>
    <row r="200" spans="1:33" x14ac:dyDescent="0.35">
      <c r="A200">
        <v>199</v>
      </c>
      <c r="B200" t="s">
        <v>517</v>
      </c>
      <c r="C200" t="s">
        <v>517</v>
      </c>
      <c r="D200" t="s">
        <v>518</v>
      </c>
      <c r="R200" t="s">
        <v>107</v>
      </c>
      <c r="AE200" s="4">
        <v>45985.798389467593</v>
      </c>
      <c r="AF200" s="4">
        <v>45985.798389641197</v>
      </c>
      <c r="AG200" t="s">
        <v>56</v>
      </c>
    </row>
    <row r="201" spans="1:33" x14ac:dyDescent="0.35">
      <c r="A201">
        <v>200</v>
      </c>
      <c r="B201" t="s">
        <v>519</v>
      </c>
      <c r="C201" t="s">
        <v>519</v>
      </c>
      <c r="D201" t="s">
        <v>520</v>
      </c>
      <c r="E201" t="s">
        <v>521</v>
      </c>
      <c r="R201" t="s">
        <v>107</v>
      </c>
      <c r="AE201" s="4">
        <v>45985.798387789349</v>
      </c>
      <c r="AF201" s="4">
        <v>45985.798387789349</v>
      </c>
      <c r="AG201" t="s">
        <v>56</v>
      </c>
    </row>
    <row r="202" spans="1:33" x14ac:dyDescent="0.35">
      <c r="A202">
        <v>201</v>
      </c>
      <c r="B202" t="s">
        <v>522</v>
      </c>
      <c r="C202" t="s">
        <v>522</v>
      </c>
      <c r="D202" t="s">
        <v>523</v>
      </c>
      <c r="E202" t="s">
        <v>524</v>
      </c>
      <c r="R202" t="s">
        <v>107</v>
      </c>
      <c r="AE202" s="4">
        <v>45985.798387291667</v>
      </c>
      <c r="AF202" s="4">
        <v>45985.798387291667</v>
      </c>
      <c r="AG202" t="s">
        <v>56</v>
      </c>
    </row>
    <row r="203" spans="1:33" x14ac:dyDescent="0.35">
      <c r="A203">
        <v>202</v>
      </c>
      <c r="B203" t="s">
        <v>525</v>
      </c>
      <c r="C203" t="s">
        <v>525</v>
      </c>
      <c r="D203" t="s">
        <v>526</v>
      </c>
      <c r="E203" t="s">
        <v>128</v>
      </c>
      <c r="R203" t="s">
        <v>107</v>
      </c>
      <c r="AE203" s="4">
        <v>45985.798387685187</v>
      </c>
      <c r="AF203" s="4">
        <v>45985.798387696763</v>
      </c>
      <c r="AG203" t="s">
        <v>56</v>
      </c>
    </row>
    <row r="204" spans="1:33" x14ac:dyDescent="0.35">
      <c r="A204">
        <v>203</v>
      </c>
      <c r="B204" t="s">
        <v>527</v>
      </c>
      <c r="C204" t="s">
        <v>527</v>
      </c>
      <c r="D204" t="s">
        <v>528</v>
      </c>
      <c r="E204" t="s">
        <v>529</v>
      </c>
      <c r="R204" t="s">
        <v>107</v>
      </c>
      <c r="AE204" s="4">
        <v>45985.798388726849</v>
      </c>
      <c r="AF204" s="4">
        <v>45985.798389780102</v>
      </c>
      <c r="AG204" t="s">
        <v>56</v>
      </c>
    </row>
    <row r="205" spans="1:33" x14ac:dyDescent="0.35">
      <c r="A205">
        <v>204</v>
      </c>
      <c r="B205" t="s">
        <v>530</v>
      </c>
      <c r="C205" t="s">
        <v>530</v>
      </c>
      <c r="D205" t="s">
        <v>531</v>
      </c>
      <c r="R205" t="s">
        <v>107</v>
      </c>
      <c r="AE205" s="4">
        <v>45985.798388275463</v>
      </c>
      <c r="AF205" s="4">
        <v>45985.798388275463</v>
      </c>
      <c r="AG205" t="s">
        <v>56</v>
      </c>
    </row>
    <row r="206" spans="1:33" x14ac:dyDescent="0.35">
      <c r="A206">
        <v>205</v>
      </c>
      <c r="B206" t="s">
        <v>532</v>
      </c>
      <c r="C206" t="s">
        <v>532</v>
      </c>
      <c r="D206" t="s">
        <v>533</v>
      </c>
      <c r="E206" t="s">
        <v>482</v>
      </c>
      <c r="R206" t="s">
        <v>107</v>
      </c>
      <c r="AE206" s="4">
        <v>45985.798387499999</v>
      </c>
      <c r="AF206" s="4">
        <v>45985.798387812501</v>
      </c>
      <c r="AG206" t="s">
        <v>56</v>
      </c>
    </row>
    <row r="207" spans="1:33" x14ac:dyDescent="0.35">
      <c r="A207">
        <v>206</v>
      </c>
      <c r="B207" t="s">
        <v>534</v>
      </c>
      <c r="C207" t="s">
        <v>534</v>
      </c>
      <c r="D207" t="s">
        <v>535</v>
      </c>
      <c r="E207" t="s">
        <v>536</v>
      </c>
      <c r="R207" t="s">
        <v>107</v>
      </c>
      <c r="AE207" s="4">
        <v>45985.798387256953</v>
      </c>
      <c r="AF207" s="4">
        <v>45985.798389722222</v>
      </c>
      <c r="AG207" t="s">
        <v>56</v>
      </c>
    </row>
    <row r="208" spans="1:33" x14ac:dyDescent="0.35">
      <c r="A208">
        <v>207</v>
      </c>
      <c r="B208" t="s">
        <v>537</v>
      </c>
      <c r="C208" t="s">
        <v>537</v>
      </c>
      <c r="D208" t="s">
        <v>538</v>
      </c>
      <c r="E208" t="s">
        <v>539</v>
      </c>
      <c r="R208" t="s">
        <v>107</v>
      </c>
      <c r="AE208" s="4">
        <v>45985.798388784722</v>
      </c>
      <c r="AF208" s="4">
        <v>45985.798389768519</v>
      </c>
      <c r="AG208" t="s">
        <v>56</v>
      </c>
    </row>
    <row r="209" spans="1:33" x14ac:dyDescent="0.35">
      <c r="A209">
        <v>208</v>
      </c>
      <c r="B209" t="s">
        <v>540</v>
      </c>
      <c r="C209" t="s">
        <v>540</v>
      </c>
      <c r="D209" t="s">
        <v>541</v>
      </c>
      <c r="R209" t="s">
        <v>107</v>
      </c>
      <c r="AE209" s="4">
        <v>45985.798389629628</v>
      </c>
      <c r="AF209" s="4">
        <v>45985.798389918979</v>
      </c>
      <c r="AG209" t="s">
        <v>56</v>
      </c>
    </row>
    <row r="210" spans="1:33" x14ac:dyDescent="0.35">
      <c r="A210">
        <v>209</v>
      </c>
      <c r="B210" t="s">
        <v>542</v>
      </c>
      <c r="C210" t="s">
        <v>542</v>
      </c>
      <c r="D210" t="s">
        <v>543</v>
      </c>
      <c r="R210" t="s">
        <v>122</v>
      </c>
      <c r="AE210" s="4">
        <v>45985.798388159717</v>
      </c>
      <c r="AF210" s="4">
        <v>45985.798388298608</v>
      </c>
      <c r="AG210" t="s">
        <v>56</v>
      </c>
    </row>
    <row r="211" spans="1:33" x14ac:dyDescent="0.35">
      <c r="A211">
        <v>210</v>
      </c>
      <c r="B211" t="s">
        <v>544</v>
      </c>
      <c r="C211" t="s">
        <v>544</v>
      </c>
      <c r="D211" t="s">
        <v>545</v>
      </c>
      <c r="R211" t="s">
        <v>107</v>
      </c>
      <c r="AE211" s="4">
        <v>45985.798390000004</v>
      </c>
      <c r="AF211" s="4">
        <v>45985.798390000004</v>
      </c>
      <c r="AG211" t="s">
        <v>56</v>
      </c>
    </row>
    <row r="212" spans="1:33" x14ac:dyDescent="0.35">
      <c r="A212">
        <v>211</v>
      </c>
      <c r="B212" t="s">
        <v>546</v>
      </c>
      <c r="C212" t="s">
        <v>546</v>
      </c>
      <c r="D212" t="s">
        <v>547</v>
      </c>
      <c r="E212" t="s">
        <v>510</v>
      </c>
      <c r="R212" t="s">
        <v>122</v>
      </c>
      <c r="AE212" s="4">
        <v>45985.798387291667</v>
      </c>
      <c r="AF212" s="4">
        <v>45985.798387997682</v>
      </c>
      <c r="AG212" t="s">
        <v>56</v>
      </c>
    </row>
    <row r="213" spans="1:33" x14ac:dyDescent="0.35">
      <c r="A213">
        <v>212</v>
      </c>
      <c r="B213" t="s">
        <v>548</v>
      </c>
      <c r="C213" t="s">
        <v>548</v>
      </c>
      <c r="D213" t="s">
        <v>549</v>
      </c>
      <c r="E213" t="s">
        <v>550</v>
      </c>
      <c r="R213" t="s">
        <v>107</v>
      </c>
      <c r="AE213" s="4">
        <v>45985.798387627307</v>
      </c>
      <c r="AF213" s="4">
        <v>45985.798387627307</v>
      </c>
      <c r="AG213" t="s">
        <v>56</v>
      </c>
    </row>
    <row r="214" spans="1:33" x14ac:dyDescent="0.35">
      <c r="A214">
        <v>213</v>
      </c>
      <c r="B214" t="s">
        <v>551</v>
      </c>
      <c r="C214" t="s">
        <v>551</v>
      </c>
      <c r="D214" t="s">
        <v>552</v>
      </c>
      <c r="E214" t="s">
        <v>553</v>
      </c>
      <c r="R214" t="s">
        <v>107</v>
      </c>
      <c r="AE214" s="4">
        <v>45985.798387442133</v>
      </c>
      <c r="AF214" s="4">
        <v>45985.798387465278</v>
      </c>
      <c r="AG214" t="s">
        <v>56</v>
      </c>
    </row>
    <row r="215" spans="1:33" x14ac:dyDescent="0.35">
      <c r="A215">
        <v>214</v>
      </c>
      <c r="B215" t="s">
        <v>554</v>
      </c>
      <c r="C215" t="s">
        <v>554</v>
      </c>
      <c r="D215" t="s">
        <v>555</v>
      </c>
      <c r="E215" t="s">
        <v>128</v>
      </c>
      <c r="R215" t="s">
        <v>107</v>
      </c>
      <c r="AE215" s="4">
        <v>45985.798387418981</v>
      </c>
      <c r="AF215" s="4">
        <v>45985.798387418981</v>
      </c>
      <c r="AG215" t="s">
        <v>56</v>
      </c>
    </row>
    <row r="216" spans="1:33" x14ac:dyDescent="0.35">
      <c r="A216">
        <v>215</v>
      </c>
      <c r="B216" t="s">
        <v>556</v>
      </c>
      <c r="C216" t="s">
        <v>556</v>
      </c>
      <c r="D216" t="s">
        <v>557</v>
      </c>
      <c r="E216" t="s">
        <v>558</v>
      </c>
      <c r="R216" t="s">
        <v>107</v>
      </c>
      <c r="AE216" s="4">
        <v>45985.798387754628</v>
      </c>
      <c r="AF216" s="4">
        <v>45985.798387754628</v>
      </c>
      <c r="AG216" t="s">
        <v>56</v>
      </c>
    </row>
    <row r="217" spans="1:33" x14ac:dyDescent="0.35">
      <c r="A217">
        <v>216</v>
      </c>
      <c r="B217" t="s">
        <v>559</v>
      </c>
      <c r="C217" t="s">
        <v>559</v>
      </c>
      <c r="D217" t="s">
        <v>560</v>
      </c>
      <c r="AE217" s="4">
        <v>45985.798389837961</v>
      </c>
      <c r="AF217" s="4">
        <v>45985.798389837961</v>
      </c>
      <c r="AG217" t="s">
        <v>56</v>
      </c>
    </row>
    <row r="218" spans="1:33" x14ac:dyDescent="0.35">
      <c r="A218">
        <v>217</v>
      </c>
      <c r="B218" t="s">
        <v>561</v>
      </c>
      <c r="C218" t="s">
        <v>561</v>
      </c>
      <c r="D218" t="s">
        <v>562</v>
      </c>
      <c r="E218" t="s">
        <v>119</v>
      </c>
      <c r="R218" t="s">
        <v>107</v>
      </c>
      <c r="AE218" s="4">
        <v>45985.798389166674</v>
      </c>
      <c r="AF218" s="4">
        <v>45985.798389710653</v>
      </c>
      <c r="AG218" t="s">
        <v>56</v>
      </c>
    </row>
    <row r="219" spans="1:33" x14ac:dyDescent="0.35">
      <c r="A219">
        <v>218</v>
      </c>
      <c r="B219" t="s">
        <v>563</v>
      </c>
      <c r="C219" t="s">
        <v>563</v>
      </c>
      <c r="D219" t="s">
        <v>564</v>
      </c>
      <c r="E219" t="s">
        <v>565</v>
      </c>
      <c r="R219" t="s">
        <v>107</v>
      </c>
      <c r="AE219" s="4">
        <v>45985.79838734954</v>
      </c>
      <c r="AF219" s="4">
        <v>45985.798389791657</v>
      </c>
      <c r="AG219" t="s">
        <v>56</v>
      </c>
    </row>
    <row r="220" spans="1:33" x14ac:dyDescent="0.35">
      <c r="A220">
        <v>219</v>
      </c>
      <c r="B220" t="s">
        <v>566</v>
      </c>
      <c r="C220" t="s">
        <v>566</v>
      </c>
      <c r="D220" t="s">
        <v>567</v>
      </c>
      <c r="E220" t="s">
        <v>521</v>
      </c>
      <c r="R220" t="s">
        <v>122</v>
      </c>
      <c r="AE220" s="4">
        <v>45985.79838925926</v>
      </c>
      <c r="AF220" s="4">
        <v>45985.798389664349</v>
      </c>
      <c r="AG220" t="s">
        <v>56</v>
      </c>
    </row>
    <row r="221" spans="1:33" x14ac:dyDescent="0.35">
      <c r="A221">
        <v>220</v>
      </c>
      <c r="B221" t="s">
        <v>568</v>
      </c>
      <c r="C221" t="s">
        <v>568</v>
      </c>
      <c r="D221" t="s">
        <v>569</v>
      </c>
      <c r="E221" t="s">
        <v>570</v>
      </c>
      <c r="R221" t="s">
        <v>107</v>
      </c>
      <c r="AE221" s="4">
        <v>45985.798388888892</v>
      </c>
      <c r="AF221" s="4">
        <v>45985.798389756943</v>
      </c>
      <c r="AG221" t="s">
        <v>56</v>
      </c>
    </row>
    <row r="222" spans="1:33" x14ac:dyDescent="0.35">
      <c r="A222">
        <v>221</v>
      </c>
      <c r="B222" t="s">
        <v>571</v>
      </c>
      <c r="C222" t="s">
        <v>571</v>
      </c>
      <c r="D222" t="s">
        <v>572</v>
      </c>
      <c r="E222" t="s">
        <v>558</v>
      </c>
      <c r="R222" t="s">
        <v>122</v>
      </c>
      <c r="AE222" s="4">
        <v>45985.798388124997</v>
      </c>
      <c r="AF222" s="4">
        <v>45985.798389710653</v>
      </c>
      <c r="AG222" t="s">
        <v>56</v>
      </c>
    </row>
    <row r="223" spans="1:33" x14ac:dyDescent="0.35">
      <c r="A223">
        <v>222</v>
      </c>
      <c r="B223" t="s">
        <v>573</v>
      </c>
      <c r="C223" t="s">
        <v>573</v>
      </c>
      <c r="D223" t="s">
        <v>574</v>
      </c>
      <c r="E223" t="s">
        <v>575</v>
      </c>
      <c r="R223" t="s">
        <v>107</v>
      </c>
      <c r="AE223" s="4">
        <v>45985.798387314811</v>
      </c>
      <c r="AF223" s="4">
        <v>45985.798387314811</v>
      </c>
      <c r="AG223" t="s">
        <v>56</v>
      </c>
    </row>
    <row r="224" spans="1:33" x14ac:dyDescent="0.35">
      <c r="A224">
        <v>223</v>
      </c>
      <c r="B224" t="s">
        <v>576</v>
      </c>
      <c r="C224" t="s">
        <v>576</v>
      </c>
      <c r="D224" t="s">
        <v>577</v>
      </c>
      <c r="R224" t="s">
        <v>107</v>
      </c>
      <c r="AE224" s="4">
        <v>45985.798389432872</v>
      </c>
      <c r="AF224" s="4">
        <v>45985.798389641197</v>
      </c>
      <c r="AG224" t="s">
        <v>56</v>
      </c>
    </row>
    <row r="225" spans="1:33" x14ac:dyDescent="0.35">
      <c r="A225">
        <v>224</v>
      </c>
      <c r="B225" t="s">
        <v>578</v>
      </c>
      <c r="C225" t="s">
        <v>578</v>
      </c>
      <c r="D225" t="s">
        <v>579</v>
      </c>
      <c r="AE225" s="4">
        <v>45985.798389756943</v>
      </c>
      <c r="AF225" s="4">
        <v>45985.798389756943</v>
      </c>
      <c r="AG225" t="s">
        <v>56</v>
      </c>
    </row>
    <row r="226" spans="1:33" x14ac:dyDescent="0.35">
      <c r="A226">
        <v>225</v>
      </c>
      <c r="B226" t="s">
        <v>580</v>
      </c>
      <c r="C226" t="s">
        <v>580</v>
      </c>
      <c r="D226" t="s">
        <v>581</v>
      </c>
      <c r="E226" t="s">
        <v>570</v>
      </c>
      <c r="R226" t="s">
        <v>107</v>
      </c>
      <c r="AE226" s="4">
        <v>45985.798387280091</v>
      </c>
      <c r="AF226" s="4">
        <v>45985.798387280091</v>
      </c>
      <c r="AG226" t="s">
        <v>56</v>
      </c>
    </row>
    <row r="227" spans="1:33" x14ac:dyDescent="0.35">
      <c r="A227">
        <v>226</v>
      </c>
      <c r="B227" t="s">
        <v>582</v>
      </c>
      <c r="C227" t="s">
        <v>582</v>
      </c>
      <c r="D227" t="s">
        <v>583</v>
      </c>
      <c r="E227" t="s">
        <v>584</v>
      </c>
      <c r="R227" t="s">
        <v>107</v>
      </c>
      <c r="AE227" s="4">
        <v>45985.798388645831</v>
      </c>
      <c r="AF227" s="4">
        <v>45985.798389791657</v>
      </c>
      <c r="AG227" t="s">
        <v>56</v>
      </c>
    </row>
    <row r="228" spans="1:33" x14ac:dyDescent="0.35">
      <c r="A228">
        <v>227</v>
      </c>
      <c r="B228" t="s">
        <v>585</v>
      </c>
      <c r="C228" t="s">
        <v>585</v>
      </c>
      <c r="D228" t="s">
        <v>586</v>
      </c>
      <c r="E228" t="s">
        <v>524</v>
      </c>
      <c r="R228" t="s">
        <v>107</v>
      </c>
      <c r="AE228" s="4">
        <v>45985.798387488423</v>
      </c>
      <c r="AF228" s="4">
        <v>45985.798389849537</v>
      </c>
      <c r="AG228" t="s">
        <v>56</v>
      </c>
    </row>
    <row r="229" spans="1:33" x14ac:dyDescent="0.35">
      <c r="A229">
        <v>228</v>
      </c>
      <c r="B229" t="s">
        <v>587</v>
      </c>
      <c r="C229" t="s">
        <v>587</v>
      </c>
      <c r="D229" t="s">
        <v>588</v>
      </c>
      <c r="E229" t="s">
        <v>505</v>
      </c>
      <c r="R229" t="s">
        <v>107</v>
      </c>
      <c r="AE229" s="4">
        <v>45985.798388981479</v>
      </c>
      <c r="AF229" s="4">
        <v>45985.798390011572</v>
      </c>
      <c r="AG229" t="s">
        <v>56</v>
      </c>
    </row>
    <row r="230" spans="1:33" x14ac:dyDescent="0.35">
      <c r="A230">
        <v>229</v>
      </c>
      <c r="B230" t="s">
        <v>589</v>
      </c>
      <c r="C230" t="s">
        <v>589</v>
      </c>
      <c r="D230" t="s">
        <v>590</v>
      </c>
      <c r="E230" t="s">
        <v>163</v>
      </c>
      <c r="R230" t="s">
        <v>122</v>
      </c>
      <c r="AE230" s="4">
        <v>45985.798387256953</v>
      </c>
      <c r="AF230" s="4">
        <v>45985.798387858798</v>
      </c>
      <c r="AG230" t="s">
        <v>56</v>
      </c>
    </row>
    <row r="231" spans="1:33" x14ac:dyDescent="0.35">
      <c r="A231">
        <v>230</v>
      </c>
      <c r="B231" t="s">
        <v>591</v>
      </c>
      <c r="C231" t="s">
        <v>591</v>
      </c>
      <c r="D231" t="s">
        <v>592</v>
      </c>
      <c r="R231" t="s">
        <v>107</v>
      </c>
      <c r="AE231" s="4">
        <v>45985.798389953707</v>
      </c>
      <c r="AF231" s="4">
        <v>45985.798389976851</v>
      </c>
      <c r="AG231" t="s">
        <v>56</v>
      </c>
    </row>
    <row r="232" spans="1:33" x14ac:dyDescent="0.35">
      <c r="A232">
        <v>231</v>
      </c>
      <c r="B232" t="s">
        <v>593</v>
      </c>
      <c r="C232" t="s">
        <v>593</v>
      </c>
      <c r="D232" t="s">
        <v>594</v>
      </c>
      <c r="E232" t="s">
        <v>595</v>
      </c>
      <c r="R232" t="s">
        <v>107</v>
      </c>
      <c r="AE232" s="4">
        <v>45985.798389363423</v>
      </c>
      <c r="AF232" s="4">
        <v>45985.79839009259</v>
      </c>
      <c r="AG232" t="s">
        <v>56</v>
      </c>
    </row>
    <row r="233" spans="1:33" x14ac:dyDescent="0.35">
      <c r="A233">
        <v>232</v>
      </c>
      <c r="B233" t="s">
        <v>596</v>
      </c>
      <c r="C233" t="s">
        <v>596</v>
      </c>
      <c r="D233" t="s">
        <v>597</v>
      </c>
      <c r="E233" t="s">
        <v>598</v>
      </c>
      <c r="R233" t="s">
        <v>107</v>
      </c>
      <c r="AE233" s="4">
        <v>45985.798387361108</v>
      </c>
      <c r="AF233" s="4">
        <v>45985.798387361108</v>
      </c>
      <c r="AG233" t="s">
        <v>56</v>
      </c>
    </row>
    <row r="234" spans="1:33" x14ac:dyDescent="0.35">
      <c r="A234">
        <v>233</v>
      </c>
      <c r="B234" t="s">
        <v>599</v>
      </c>
      <c r="C234" t="s">
        <v>599</v>
      </c>
      <c r="D234" t="s">
        <v>600</v>
      </c>
      <c r="E234" t="s">
        <v>136</v>
      </c>
      <c r="R234" t="s">
        <v>107</v>
      </c>
      <c r="AE234" s="4">
        <v>45985.798389236108</v>
      </c>
      <c r="AF234" s="4">
        <v>45985.798389699077</v>
      </c>
      <c r="AG234" t="s">
        <v>56</v>
      </c>
    </row>
    <row r="235" spans="1:33" x14ac:dyDescent="0.35">
      <c r="A235">
        <v>234</v>
      </c>
      <c r="B235" t="s">
        <v>601</v>
      </c>
      <c r="C235" t="s">
        <v>601</v>
      </c>
      <c r="D235" t="s">
        <v>602</v>
      </c>
      <c r="E235" t="s">
        <v>603</v>
      </c>
      <c r="R235" t="s">
        <v>107</v>
      </c>
      <c r="AE235" s="4">
        <v>45985.798388981479</v>
      </c>
      <c r="AF235" s="4">
        <v>45985.798389733798</v>
      </c>
      <c r="AG235" t="s">
        <v>56</v>
      </c>
    </row>
    <row r="236" spans="1:33" x14ac:dyDescent="0.35">
      <c r="A236">
        <v>235</v>
      </c>
      <c r="B236" t="s">
        <v>604</v>
      </c>
      <c r="C236" t="s">
        <v>604</v>
      </c>
      <c r="D236" t="s">
        <v>605</v>
      </c>
      <c r="R236" t="s">
        <v>107</v>
      </c>
      <c r="AE236" s="4">
        <v>45985.79838821759</v>
      </c>
      <c r="AF236" s="4">
        <v>45985.79838821759</v>
      </c>
      <c r="AG236" t="s">
        <v>56</v>
      </c>
    </row>
    <row r="237" spans="1:33" x14ac:dyDescent="0.35">
      <c r="A237">
        <v>236</v>
      </c>
      <c r="B237" t="s">
        <v>606</v>
      </c>
      <c r="C237" t="s">
        <v>606</v>
      </c>
      <c r="D237" t="s">
        <v>607</v>
      </c>
      <c r="E237" t="s">
        <v>608</v>
      </c>
      <c r="R237" t="s">
        <v>122</v>
      </c>
      <c r="AE237" s="4">
        <v>45985.798387395836</v>
      </c>
      <c r="AF237" s="4">
        <v>45985.79838792824</v>
      </c>
      <c r="AG237" t="s">
        <v>56</v>
      </c>
    </row>
    <row r="238" spans="1:33" x14ac:dyDescent="0.35">
      <c r="A238">
        <v>237</v>
      </c>
      <c r="B238" t="s">
        <v>609</v>
      </c>
      <c r="C238" t="s">
        <v>609</v>
      </c>
      <c r="D238" t="s">
        <v>610</v>
      </c>
      <c r="E238" t="s">
        <v>611</v>
      </c>
      <c r="R238" t="s">
        <v>122</v>
      </c>
      <c r="AE238" s="4">
        <v>45985.798387523151</v>
      </c>
      <c r="AF238" s="4">
        <v>45985.798388009258</v>
      </c>
      <c r="AG238" t="s">
        <v>56</v>
      </c>
    </row>
    <row r="239" spans="1:33" x14ac:dyDescent="0.35">
      <c r="A239">
        <v>238</v>
      </c>
      <c r="B239" t="s">
        <v>612</v>
      </c>
      <c r="C239" t="s">
        <v>612</v>
      </c>
      <c r="D239" t="s">
        <v>613</v>
      </c>
      <c r="E239" t="s">
        <v>155</v>
      </c>
      <c r="R239" t="s">
        <v>122</v>
      </c>
      <c r="AE239" s="4">
        <v>45985.798389085649</v>
      </c>
      <c r="AF239" s="4">
        <v>45985.798389884258</v>
      </c>
      <c r="AG239" t="s">
        <v>56</v>
      </c>
    </row>
    <row r="240" spans="1:33" x14ac:dyDescent="0.35">
      <c r="A240">
        <v>239</v>
      </c>
      <c r="B240" t="s">
        <v>614</v>
      </c>
      <c r="C240" t="s">
        <v>614</v>
      </c>
      <c r="D240" t="s">
        <v>615</v>
      </c>
      <c r="E240" t="s">
        <v>482</v>
      </c>
      <c r="R240" t="s">
        <v>107</v>
      </c>
      <c r="AE240" s="4">
        <v>45985.798388738433</v>
      </c>
      <c r="AF240" s="4">
        <v>45985.798389733798</v>
      </c>
      <c r="AG240" t="s">
        <v>56</v>
      </c>
    </row>
    <row r="241" spans="1:33" x14ac:dyDescent="0.35">
      <c r="A241">
        <v>240</v>
      </c>
      <c r="B241" t="s">
        <v>616</v>
      </c>
      <c r="C241" t="s">
        <v>616</v>
      </c>
      <c r="D241" t="s">
        <v>617</v>
      </c>
      <c r="E241" t="s">
        <v>618</v>
      </c>
      <c r="R241" t="s">
        <v>107</v>
      </c>
      <c r="AE241" s="4">
        <v>45985.798387280091</v>
      </c>
      <c r="AF241" s="4">
        <v>45985.79839009259</v>
      </c>
      <c r="AG241" t="s">
        <v>56</v>
      </c>
    </row>
    <row r="242" spans="1:33" x14ac:dyDescent="0.35">
      <c r="A242">
        <v>241</v>
      </c>
      <c r="B242" t="s">
        <v>619</v>
      </c>
      <c r="C242" t="s">
        <v>619</v>
      </c>
      <c r="D242" t="s">
        <v>620</v>
      </c>
      <c r="E242" t="s">
        <v>452</v>
      </c>
      <c r="R242" t="s">
        <v>107</v>
      </c>
      <c r="AE242" s="4">
        <v>45985.798389050928</v>
      </c>
      <c r="AF242" s="4">
        <v>45985.798389745367</v>
      </c>
      <c r="AG242" t="s">
        <v>56</v>
      </c>
    </row>
    <row r="243" spans="1:33" x14ac:dyDescent="0.35">
      <c r="A243">
        <v>242</v>
      </c>
      <c r="B243" t="s">
        <v>621</v>
      </c>
      <c r="C243" t="s">
        <v>621</v>
      </c>
      <c r="D243" t="s">
        <v>622</v>
      </c>
      <c r="E243" t="s">
        <v>623</v>
      </c>
      <c r="R243" t="s">
        <v>107</v>
      </c>
      <c r="AE243" s="4">
        <v>45985.798387488423</v>
      </c>
      <c r="AF243" s="4">
        <v>45985.798387488423</v>
      </c>
      <c r="AG243" t="s">
        <v>56</v>
      </c>
    </row>
    <row r="244" spans="1:33" x14ac:dyDescent="0.35">
      <c r="A244">
        <v>243</v>
      </c>
      <c r="B244" t="s">
        <v>624</v>
      </c>
      <c r="C244" t="s">
        <v>624</v>
      </c>
      <c r="D244" t="s">
        <v>625</v>
      </c>
      <c r="E244" t="s">
        <v>626</v>
      </c>
      <c r="R244" t="s">
        <v>107</v>
      </c>
      <c r="AE244" s="4">
        <v>45985.798387326387</v>
      </c>
      <c r="AF244" s="4">
        <v>45985.798387326387</v>
      </c>
      <c r="AG244" t="s">
        <v>56</v>
      </c>
    </row>
    <row r="245" spans="1:33" x14ac:dyDescent="0.35">
      <c r="A245">
        <v>244</v>
      </c>
      <c r="B245" t="s">
        <v>627</v>
      </c>
      <c r="C245" t="s">
        <v>627</v>
      </c>
      <c r="D245" t="s">
        <v>628</v>
      </c>
      <c r="E245" t="s">
        <v>629</v>
      </c>
      <c r="R245" t="s">
        <v>107</v>
      </c>
      <c r="AE245" s="4">
        <v>45985.798387453702</v>
      </c>
      <c r="AF245" s="4">
        <v>45985.798387696763</v>
      </c>
      <c r="AG245" t="s">
        <v>56</v>
      </c>
    </row>
    <row r="246" spans="1:33" x14ac:dyDescent="0.35">
      <c r="A246">
        <v>245</v>
      </c>
      <c r="B246" t="s">
        <v>630</v>
      </c>
      <c r="C246" t="s">
        <v>630</v>
      </c>
      <c r="D246" t="s">
        <v>631</v>
      </c>
      <c r="E246" t="s">
        <v>565</v>
      </c>
      <c r="R246" t="s">
        <v>122</v>
      </c>
      <c r="AE246" s="4">
        <v>45985.798388981479</v>
      </c>
      <c r="AF246" s="4">
        <v>45985.798389664349</v>
      </c>
      <c r="AG246" t="s">
        <v>56</v>
      </c>
    </row>
    <row r="247" spans="1:33" x14ac:dyDescent="0.35">
      <c r="A247">
        <v>246</v>
      </c>
      <c r="B247" t="s">
        <v>632</v>
      </c>
      <c r="C247" t="s">
        <v>632</v>
      </c>
      <c r="D247" t="s">
        <v>633</v>
      </c>
      <c r="R247" t="s">
        <v>122</v>
      </c>
      <c r="AE247" s="4">
        <v>45985.798388310177</v>
      </c>
      <c r="AF247" s="4">
        <v>45985.798388310177</v>
      </c>
      <c r="AG247" t="s">
        <v>56</v>
      </c>
    </row>
    <row r="248" spans="1:33" x14ac:dyDescent="0.35">
      <c r="A248">
        <v>247</v>
      </c>
      <c r="B248" t="s">
        <v>634</v>
      </c>
      <c r="C248" t="s">
        <v>634</v>
      </c>
      <c r="D248" t="s">
        <v>635</v>
      </c>
      <c r="E248" t="s">
        <v>598</v>
      </c>
      <c r="R248" t="s">
        <v>107</v>
      </c>
      <c r="AE248" s="4">
        <v>45985.798387430557</v>
      </c>
      <c r="AF248" s="4">
        <v>45985.798387627307</v>
      </c>
      <c r="AG248" t="s">
        <v>56</v>
      </c>
    </row>
    <row r="249" spans="1:33" x14ac:dyDescent="0.35">
      <c r="A249">
        <v>248</v>
      </c>
      <c r="B249" t="s">
        <v>636</v>
      </c>
      <c r="C249" t="s">
        <v>636</v>
      </c>
      <c r="D249" t="s">
        <v>637</v>
      </c>
      <c r="E249" t="s">
        <v>638</v>
      </c>
      <c r="R249" t="s">
        <v>107</v>
      </c>
      <c r="AE249" s="4">
        <v>45985.798387268522</v>
      </c>
      <c r="AF249" s="4">
        <v>45985.798387268522</v>
      </c>
      <c r="AG249" t="s">
        <v>56</v>
      </c>
    </row>
    <row r="250" spans="1:33" x14ac:dyDescent="0.35">
      <c r="A250">
        <v>249</v>
      </c>
      <c r="B250" t="s">
        <v>639</v>
      </c>
      <c r="C250" t="s">
        <v>639</v>
      </c>
      <c r="D250" t="s">
        <v>640</v>
      </c>
      <c r="R250" t="s">
        <v>107</v>
      </c>
      <c r="AE250" s="4">
        <v>45985.798388263887</v>
      </c>
      <c r="AF250" s="4">
        <v>45985.798388263887</v>
      </c>
      <c r="AG250" t="s">
        <v>56</v>
      </c>
    </row>
    <row r="251" spans="1:33" x14ac:dyDescent="0.35">
      <c r="A251">
        <v>250</v>
      </c>
      <c r="B251" t="s">
        <v>641</v>
      </c>
      <c r="C251" t="s">
        <v>641</v>
      </c>
      <c r="D251" t="s">
        <v>642</v>
      </c>
      <c r="E251" t="s">
        <v>643</v>
      </c>
      <c r="R251" t="s">
        <v>107</v>
      </c>
      <c r="AE251" s="4">
        <v>45985.798388622687</v>
      </c>
      <c r="AF251" s="4">
        <v>45985.798389849537</v>
      </c>
      <c r="AG251" t="s">
        <v>56</v>
      </c>
    </row>
    <row r="252" spans="1:33" x14ac:dyDescent="0.35">
      <c r="A252">
        <v>251</v>
      </c>
      <c r="B252" t="s">
        <v>644</v>
      </c>
      <c r="C252" t="s">
        <v>644</v>
      </c>
      <c r="D252" t="s">
        <v>645</v>
      </c>
      <c r="E252" t="s">
        <v>646</v>
      </c>
      <c r="R252" t="s">
        <v>107</v>
      </c>
      <c r="AE252" s="4">
        <v>45985.798387280091</v>
      </c>
      <c r="AF252" s="4">
        <v>45985.798389814823</v>
      </c>
      <c r="AG252" t="s">
        <v>56</v>
      </c>
    </row>
    <row r="253" spans="1:33" x14ac:dyDescent="0.35">
      <c r="A253">
        <v>252</v>
      </c>
      <c r="B253" t="s">
        <v>647</v>
      </c>
      <c r="C253" t="s">
        <v>647</v>
      </c>
      <c r="D253" t="s">
        <v>648</v>
      </c>
      <c r="E253" t="s">
        <v>163</v>
      </c>
      <c r="R253" t="s">
        <v>107</v>
      </c>
      <c r="AE253" s="4">
        <v>45985.798387546303</v>
      </c>
      <c r="AF253" s="4">
        <v>45985.798387546303</v>
      </c>
      <c r="AG253" t="s">
        <v>56</v>
      </c>
    </row>
    <row r="254" spans="1:33" x14ac:dyDescent="0.35">
      <c r="A254">
        <v>253</v>
      </c>
      <c r="B254" t="s">
        <v>649</v>
      </c>
      <c r="C254" t="s">
        <v>649</v>
      </c>
      <c r="D254" t="s">
        <v>650</v>
      </c>
      <c r="R254" t="s">
        <v>107</v>
      </c>
      <c r="AE254" s="4">
        <v>45985.798388206022</v>
      </c>
      <c r="AF254" s="4">
        <v>45985.798389826392</v>
      </c>
      <c r="AG254" t="s">
        <v>56</v>
      </c>
    </row>
    <row r="255" spans="1:33" x14ac:dyDescent="0.35">
      <c r="A255">
        <v>254</v>
      </c>
      <c r="B255" t="s">
        <v>651</v>
      </c>
      <c r="C255" t="s">
        <v>651</v>
      </c>
      <c r="D255" t="s">
        <v>652</v>
      </c>
      <c r="E255" t="s">
        <v>516</v>
      </c>
      <c r="R255" t="s">
        <v>107</v>
      </c>
      <c r="AE255" s="4">
        <v>45985.798388981479</v>
      </c>
      <c r="AF255" s="4">
        <v>45985.798389918979</v>
      </c>
      <c r="AG255" t="s">
        <v>56</v>
      </c>
    </row>
    <row r="256" spans="1:33" x14ac:dyDescent="0.35">
      <c r="A256">
        <v>255</v>
      </c>
      <c r="B256" t="s">
        <v>653</v>
      </c>
      <c r="C256" t="s">
        <v>653</v>
      </c>
      <c r="D256" t="s">
        <v>654</v>
      </c>
      <c r="E256" t="s">
        <v>169</v>
      </c>
      <c r="R256" t="s">
        <v>107</v>
      </c>
      <c r="AE256" s="4">
        <v>45985.798387337964</v>
      </c>
      <c r="AF256" s="4">
        <v>45985.79838734954</v>
      </c>
      <c r="AG256" t="s">
        <v>56</v>
      </c>
    </row>
    <row r="257" spans="1:33" x14ac:dyDescent="0.35">
      <c r="A257">
        <v>256</v>
      </c>
      <c r="B257" t="s">
        <v>655</v>
      </c>
      <c r="C257" t="s">
        <v>655</v>
      </c>
      <c r="D257" t="s">
        <v>656</v>
      </c>
      <c r="E257" t="s">
        <v>119</v>
      </c>
      <c r="R257" t="s">
        <v>122</v>
      </c>
      <c r="AE257" s="4">
        <v>45985.798387268522</v>
      </c>
      <c r="AF257" s="4">
        <v>45985.798389675932</v>
      </c>
      <c r="AG257" t="s">
        <v>56</v>
      </c>
    </row>
    <row r="258" spans="1:33" x14ac:dyDescent="0.35">
      <c r="A258">
        <v>257</v>
      </c>
      <c r="B258" t="s">
        <v>657</v>
      </c>
      <c r="C258" t="s">
        <v>657</v>
      </c>
      <c r="D258" t="s">
        <v>658</v>
      </c>
      <c r="R258" t="s">
        <v>122</v>
      </c>
      <c r="AE258" s="4">
        <v>45985.798388298608</v>
      </c>
      <c r="AF258" s="4">
        <v>45985.798389826392</v>
      </c>
      <c r="AG258" t="s">
        <v>56</v>
      </c>
    </row>
    <row r="259" spans="1:33" x14ac:dyDescent="0.35">
      <c r="A259">
        <v>258</v>
      </c>
      <c r="B259" t="s">
        <v>659</v>
      </c>
      <c r="C259" t="s">
        <v>659</v>
      </c>
      <c r="D259" t="s">
        <v>660</v>
      </c>
      <c r="E259" t="s">
        <v>136</v>
      </c>
      <c r="R259" t="s">
        <v>122</v>
      </c>
      <c r="AE259" s="4">
        <v>45985.798387291667</v>
      </c>
      <c r="AF259" s="4">
        <v>45985.798387916657</v>
      </c>
      <c r="AG259" t="s">
        <v>56</v>
      </c>
    </row>
    <row r="260" spans="1:33" x14ac:dyDescent="0.35">
      <c r="A260">
        <v>259</v>
      </c>
      <c r="B260" t="s">
        <v>661</v>
      </c>
      <c r="C260" t="s">
        <v>661</v>
      </c>
      <c r="D260" t="s">
        <v>662</v>
      </c>
      <c r="E260" t="s">
        <v>663</v>
      </c>
      <c r="R260" t="s">
        <v>107</v>
      </c>
      <c r="AE260" s="4">
        <v>45985.798388750001</v>
      </c>
      <c r="AF260" s="4">
        <v>45985.798389780102</v>
      </c>
      <c r="AG260" t="s">
        <v>56</v>
      </c>
    </row>
    <row r="261" spans="1:33" x14ac:dyDescent="0.35">
      <c r="A261">
        <v>260</v>
      </c>
      <c r="B261" t="s">
        <v>664</v>
      </c>
      <c r="C261" t="s">
        <v>664</v>
      </c>
      <c r="D261" t="s">
        <v>665</v>
      </c>
      <c r="E261" t="s">
        <v>136</v>
      </c>
      <c r="R261" t="s">
        <v>107</v>
      </c>
      <c r="AE261" s="4">
        <v>45985.798389317133</v>
      </c>
      <c r="AF261" s="4">
        <v>45985.798389814823</v>
      </c>
      <c r="AG261" t="s">
        <v>56</v>
      </c>
    </row>
    <row r="262" spans="1:33" x14ac:dyDescent="0.35">
      <c r="A262">
        <v>261</v>
      </c>
      <c r="B262" t="s">
        <v>666</v>
      </c>
      <c r="C262" t="s">
        <v>666</v>
      </c>
      <c r="D262" t="s">
        <v>667</v>
      </c>
      <c r="E262" t="s">
        <v>668</v>
      </c>
      <c r="R262" t="s">
        <v>122</v>
      </c>
      <c r="AE262" s="4">
        <v>45985.798387326387</v>
      </c>
      <c r="AF262" s="4">
        <v>45985.798387893519</v>
      </c>
      <c r="AG262" t="s">
        <v>56</v>
      </c>
    </row>
    <row r="263" spans="1:33" x14ac:dyDescent="0.35">
      <c r="A263">
        <v>262</v>
      </c>
      <c r="B263" t="s">
        <v>669</v>
      </c>
      <c r="C263" t="s">
        <v>669</v>
      </c>
      <c r="D263" t="s">
        <v>670</v>
      </c>
      <c r="E263" t="s">
        <v>539</v>
      </c>
      <c r="R263" t="s">
        <v>107</v>
      </c>
      <c r="AE263" s="4">
        <v>45985.798387453702</v>
      </c>
      <c r="AF263" s="4">
        <v>45985.798388229166</v>
      </c>
      <c r="AG263" t="s">
        <v>56</v>
      </c>
    </row>
    <row r="264" spans="1:33" x14ac:dyDescent="0.35">
      <c r="A264">
        <v>263</v>
      </c>
      <c r="B264" t="s">
        <v>671</v>
      </c>
      <c r="C264" t="s">
        <v>671</v>
      </c>
      <c r="D264" t="s">
        <v>672</v>
      </c>
      <c r="E264" t="s">
        <v>473</v>
      </c>
      <c r="R264" t="s">
        <v>122</v>
      </c>
      <c r="AE264" s="4">
        <v>45985.798387754628</v>
      </c>
      <c r="AF264" s="4">
        <v>45985.798388078707</v>
      </c>
      <c r="AG264" t="s">
        <v>56</v>
      </c>
    </row>
    <row r="265" spans="1:33" x14ac:dyDescent="0.35">
      <c r="A265">
        <v>264</v>
      </c>
      <c r="B265" t="s">
        <v>673</v>
      </c>
      <c r="C265" t="s">
        <v>673</v>
      </c>
      <c r="D265" t="s">
        <v>674</v>
      </c>
      <c r="R265" t="s">
        <v>107</v>
      </c>
      <c r="AE265" s="4">
        <v>45985.798389930547</v>
      </c>
      <c r="AF265" s="4">
        <v>45985.798389930547</v>
      </c>
      <c r="AG265" t="s">
        <v>56</v>
      </c>
    </row>
    <row r="266" spans="1:33" x14ac:dyDescent="0.35">
      <c r="A266">
        <v>265</v>
      </c>
      <c r="B266" t="s">
        <v>675</v>
      </c>
      <c r="C266" t="s">
        <v>675</v>
      </c>
      <c r="D266" t="s">
        <v>676</v>
      </c>
      <c r="E266" t="s">
        <v>565</v>
      </c>
      <c r="R266" t="s">
        <v>107</v>
      </c>
      <c r="AE266" s="4">
        <v>45985.798387280091</v>
      </c>
      <c r="AF266" s="4">
        <v>45985.798390081021</v>
      </c>
      <c r="AG266" t="s">
        <v>56</v>
      </c>
    </row>
    <row r="267" spans="1:33" x14ac:dyDescent="0.35">
      <c r="A267">
        <v>266</v>
      </c>
      <c r="B267" t="s">
        <v>677</v>
      </c>
      <c r="C267" t="s">
        <v>677</v>
      </c>
      <c r="D267" t="s">
        <v>678</v>
      </c>
      <c r="E267" t="s">
        <v>679</v>
      </c>
      <c r="R267" t="s">
        <v>107</v>
      </c>
      <c r="AE267" s="4">
        <v>45985.79838886574</v>
      </c>
      <c r="AF267" s="4">
        <v>45985.798389756943</v>
      </c>
      <c r="AG267" t="s">
        <v>56</v>
      </c>
    </row>
    <row r="268" spans="1:33" x14ac:dyDescent="0.35">
      <c r="A268">
        <v>267</v>
      </c>
      <c r="B268" t="s">
        <v>680</v>
      </c>
      <c r="C268" t="s">
        <v>680</v>
      </c>
      <c r="D268" t="s">
        <v>681</v>
      </c>
      <c r="E268" t="s">
        <v>608</v>
      </c>
      <c r="R268" t="s">
        <v>107</v>
      </c>
      <c r="AE268" s="4">
        <v>45985.798387407413</v>
      </c>
      <c r="AF268" s="4">
        <v>45985.798387407413</v>
      </c>
      <c r="AG268" t="s">
        <v>56</v>
      </c>
    </row>
    <row r="269" spans="1:33" x14ac:dyDescent="0.35">
      <c r="A269">
        <v>268</v>
      </c>
      <c r="B269" t="s">
        <v>682</v>
      </c>
      <c r="C269" t="s">
        <v>682</v>
      </c>
      <c r="D269" t="s">
        <v>683</v>
      </c>
      <c r="E269" t="s">
        <v>136</v>
      </c>
      <c r="R269" t="s">
        <v>122</v>
      </c>
      <c r="AE269" s="4">
        <v>45985.798387430557</v>
      </c>
      <c r="AF269" s="4">
        <v>45985.798387939823</v>
      </c>
      <c r="AG269" t="s">
        <v>56</v>
      </c>
    </row>
    <row r="270" spans="1:33" x14ac:dyDescent="0.35">
      <c r="A270">
        <v>269</v>
      </c>
      <c r="B270" t="s">
        <v>684</v>
      </c>
      <c r="C270" t="s">
        <v>684</v>
      </c>
      <c r="D270" t="s">
        <v>685</v>
      </c>
      <c r="R270" t="s">
        <v>107</v>
      </c>
      <c r="AE270" s="4">
        <v>45985.798389444448</v>
      </c>
      <c r="AF270" s="4">
        <v>45985.79839009259</v>
      </c>
      <c r="AG270" t="s">
        <v>56</v>
      </c>
    </row>
    <row r="271" spans="1:33" x14ac:dyDescent="0.35">
      <c r="A271">
        <v>270</v>
      </c>
      <c r="B271" t="s">
        <v>686</v>
      </c>
      <c r="C271" t="s">
        <v>686</v>
      </c>
      <c r="D271" t="s">
        <v>687</v>
      </c>
      <c r="E271" t="s">
        <v>688</v>
      </c>
      <c r="R271" t="s">
        <v>107</v>
      </c>
      <c r="AE271" s="4">
        <v>45985.798387268522</v>
      </c>
      <c r="AF271" s="4">
        <v>45985.798387303243</v>
      </c>
      <c r="AG271" t="s">
        <v>56</v>
      </c>
    </row>
    <row r="272" spans="1:33" x14ac:dyDescent="0.35">
      <c r="A272">
        <v>271</v>
      </c>
      <c r="B272" t="s">
        <v>689</v>
      </c>
      <c r="C272" t="s">
        <v>689</v>
      </c>
      <c r="D272" t="s">
        <v>690</v>
      </c>
      <c r="E272" t="s">
        <v>510</v>
      </c>
      <c r="R272" t="s">
        <v>122</v>
      </c>
      <c r="AE272" s="4">
        <v>45985.798387314811</v>
      </c>
      <c r="AF272" s="4">
        <v>45985.798389710653</v>
      </c>
      <c r="AG272" t="s">
        <v>56</v>
      </c>
    </row>
    <row r="273" spans="1:33" x14ac:dyDescent="0.35">
      <c r="A273">
        <v>272</v>
      </c>
      <c r="B273" t="s">
        <v>691</v>
      </c>
      <c r="C273" t="s">
        <v>691</v>
      </c>
      <c r="D273" t="s">
        <v>692</v>
      </c>
      <c r="E273" t="s">
        <v>521</v>
      </c>
      <c r="R273" t="s">
        <v>107</v>
      </c>
      <c r="AE273" s="4">
        <v>45985.798387662027</v>
      </c>
      <c r="AF273" s="4">
        <v>45985.798387662027</v>
      </c>
      <c r="AG273" t="s">
        <v>56</v>
      </c>
    </row>
    <row r="274" spans="1:33" x14ac:dyDescent="0.35">
      <c r="A274">
        <v>273</v>
      </c>
      <c r="B274" t="s">
        <v>693</v>
      </c>
      <c r="C274" t="s">
        <v>693</v>
      </c>
      <c r="D274" t="s">
        <v>694</v>
      </c>
      <c r="E274" t="s">
        <v>695</v>
      </c>
      <c r="R274" t="s">
        <v>122</v>
      </c>
      <c r="AE274" s="4">
        <v>45985.798387303243</v>
      </c>
      <c r="AF274" s="4">
        <v>45985.798387870367</v>
      </c>
      <c r="AG274" t="s">
        <v>56</v>
      </c>
    </row>
    <row r="275" spans="1:33" x14ac:dyDescent="0.35">
      <c r="A275">
        <v>274</v>
      </c>
      <c r="B275" t="s">
        <v>696</v>
      </c>
      <c r="C275" t="s">
        <v>696</v>
      </c>
      <c r="D275" t="s">
        <v>697</v>
      </c>
      <c r="E275" t="s">
        <v>598</v>
      </c>
      <c r="R275" t="s">
        <v>107</v>
      </c>
      <c r="AE275" s="4">
        <v>45985.798387291667</v>
      </c>
      <c r="AF275" s="4">
        <v>45985.798387291667</v>
      </c>
      <c r="AG275" t="s">
        <v>56</v>
      </c>
    </row>
    <row r="276" spans="1:33" x14ac:dyDescent="0.35">
      <c r="A276">
        <v>275</v>
      </c>
      <c r="B276" t="s">
        <v>698</v>
      </c>
      <c r="C276" t="s">
        <v>698</v>
      </c>
      <c r="D276" t="s">
        <v>699</v>
      </c>
      <c r="E276" t="s">
        <v>598</v>
      </c>
      <c r="R276" t="s">
        <v>107</v>
      </c>
      <c r="AE276" s="4">
        <v>45985.798388275463</v>
      </c>
      <c r="AF276" s="4">
        <v>45985.798389710653</v>
      </c>
      <c r="AG276" t="s">
        <v>56</v>
      </c>
    </row>
    <row r="277" spans="1:33" x14ac:dyDescent="0.35">
      <c r="A277">
        <v>276</v>
      </c>
      <c r="B277" t="s">
        <v>700</v>
      </c>
      <c r="C277" t="s">
        <v>700</v>
      </c>
      <c r="D277" t="s">
        <v>701</v>
      </c>
      <c r="E277" t="s">
        <v>211</v>
      </c>
      <c r="R277" t="s">
        <v>107</v>
      </c>
      <c r="AE277" s="4">
        <v>45985.798389050928</v>
      </c>
      <c r="AF277" s="4">
        <v>45985.798390069453</v>
      </c>
      <c r="AG277" t="s">
        <v>56</v>
      </c>
    </row>
    <row r="278" spans="1:33" x14ac:dyDescent="0.35">
      <c r="A278">
        <v>277</v>
      </c>
      <c r="B278" t="s">
        <v>702</v>
      </c>
      <c r="C278" t="s">
        <v>702</v>
      </c>
      <c r="D278" t="s">
        <v>703</v>
      </c>
      <c r="R278" t="s">
        <v>107</v>
      </c>
      <c r="AE278" s="4">
        <v>45985.798389988428</v>
      </c>
      <c r="AF278" s="4">
        <v>45985.798389988428</v>
      </c>
      <c r="AG278" t="s">
        <v>56</v>
      </c>
    </row>
    <row r="279" spans="1:33" x14ac:dyDescent="0.35">
      <c r="A279">
        <v>278</v>
      </c>
      <c r="B279" t="s">
        <v>704</v>
      </c>
      <c r="C279" t="s">
        <v>704</v>
      </c>
      <c r="D279" t="s">
        <v>705</v>
      </c>
      <c r="E279" t="s">
        <v>608</v>
      </c>
      <c r="R279" t="s">
        <v>122</v>
      </c>
      <c r="AE279" s="4">
        <v>45985.798389884258</v>
      </c>
      <c r="AF279" s="4">
        <v>45985.798389884258</v>
      </c>
      <c r="AG279" t="s">
        <v>56</v>
      </c>
    </row>
    <row r="280" spans="1:33" x14ac:dyDescent="0.35">
      <c r="A280">
        <v>279</v>
      </c>
      <c r="B280" t="s">
        <v>706</v>
      </c>
      <c r="C280" t="s">
        <v>706</v>
      </c>
      <c r="D280" t="s">
        <v>707</v>
      </c>
      <c r="E280" t="s">
        <v>643</v>
      </c>
      <c r="R280" t="s">
        <v>107</v>
      </c>
      <c r="AE280" s="4">
        <v>45985.798387766197</v>
      </c>
      <c r="AF280" s="4">
        <v>45985.798387766197</v>
      </c>
      <c r="AG280" t="s">
        <v>56</v>
      </c>
    </row>
    <row r="281" spans="1:33" x14ac:dyDescent="0.35">
      <c r="A281">
        <v>280</v>
      </c>
      <c r="B281" t="s">
        <v>708</v>
      </c>
      <c r="C281" t="s">
        <v>708</v>
      </c>
      <c r="D281" t="s">
        <v>709</v>
      </c>
      <c r="E281" t="s">
        <v>608</v>
      </c>
      <c r="R281" t="s">
        <v>107</v>
      </c>
      <c r="AE281" s="4">
        <v>45985.798387395836</v>
      </c>
      <c r="AF281" s="4">
        <v>45985.798387395836</v>
      </c>
      <c r="AG281" t="s">
        <v>56</v>
      </c>
    </row>
    <row r="282" spans="1:33" x14ac:dyDescent="0.35">
      <c r="A282">
        <v>281</v>
      </c>
      <c r="B282" t="s">
        <v>710</v>
      </c>
      <c r="C282" t="s">
        <v>710</v>
      </c>
      <c r="D282" t="s">
        <v>711</v>
      </c>
      <c r="E282" t="s">
        <v>558</v>
      </c>
      <c r="R282" t="s">
        <v>107</v>
      </c>
      <c r="AE282" s="4">
        <v>45985.798387291667</v>
      </c>
      <c r="AF282" s="4">
        <v>45985.798387291667</v>
      </c>
      <c r="AG282" t="s">
        <v>56</v>
      </c>
    </row>
    <row r="283" spans="1:33" x14ac:dyDescent="0.35">
      <c r="A283">
        <v>282</v>
      </c>
      <c r="B283" t="s">
        <v>712</v>
      </c>
      <c r="C283" t="s">
        <v>712</v>
      </c>
      <c r="D283" t="s">
        <v>713</v>
      </c>
      <c r="E283" t="s">
        <v>714</v>
      </c>
      <c r="R283" t="s">
        <v>122</v>
      </c>
      <c r="AE283" s="4">
        <v>45985.798387314811</v>
      </c>
      <c r="AF283" s="4">
        <v>45985.798387893519</v>
      </c>
      <c r="AG283" t="s">
        <v>56</v>
      </c>
    </row>
    <row r="284" spans="1:33" x14ac:dyDescent="0.35">
      <c r="A284">
        <v>283</v>
      </c>
      <c r="B284" t="s">
        <v>715</v>
      </c>
      <c r="C284" t="s">
        <v>715</v>
      </c>
      <c r="D284" t="s">
        <v>716</v>
      </c>
      <c r="E284" t="s">
        <v>510</v>
      </c>
      <c r="R284" t="s">
        <v>107</v>
      </c>
      <c r="AE284" s="4">
        <v>45985.798387280091</v>
      </c>
      <c r="AF284" s="4">
        <v>45985.798389733798</v>
      </c>
      <c r="AG284" t="s">
        <v>56</v>
      </c>
    </row>
    <row r="285" spans="1:33" x14ac:dyDescent="0.35">
      <c r="A285">
        <v>284</v>
      </c>
      <c r="B285" t="s">
        <v>717</v>
      </c>
      <c r="C285" t="s">
        <v>717</v>
      </c>
      <c r="D285" t="s">
        <v>718</v>
      </c>
      <c r="E285" t="s">
        <v>719</v>
      </c>
      <c r="R285" t="s">
        <v>107</v>
      </c>
      <c r="AE285" s="4">
        <v>45985.798387280091</v>
      </c>
      <c r="AF285" s="4">
        <v>45985.798387280091</v>
      </c>
      <c r="AG285" t="s">
        <v>56</v>
      </c>
    </row>
    <row r="286" spans="1:33" x14ac:dyDescent="0.35">
      <c r="A286">
        <v>285</v>
      </c>
      <c r="B286" t="s">
        <v>720</v>
      </c>
      <c r="C286" t="s">
        <v>720</v>
      </c>
      <c r="D286" t="s">
        <v>721</v>
      </c>
      <c r="E286" t="s">
        <v>128</v>
      </c>
      <c r="R286" t="s">
        <v>107</v>
      </c>
      <c r="AE286" s="4">
        <v>45985.798387268522</v>
      </c>
      <c r="AF286" s="4">
        <v>45985.798389675932</v>
      </c>
      <c r="AG286" t="s">
        <v>56</v>
      </c>
    </row>
    <row r="287" spans="1:33" x14ac:dyDescent="0.35">
      <c r="A287">
        <v>286</v>
      </c>
      <c r="B287" t="s">
        <v>722</v>
      </c>
      <c r="C287" t="s">
        <v>722</v>
      </c>
      <c r="D287" t="s">
        <v>723</v>
      </c>
      <c r="R287" t="s">
        <v>107</v>
      </c>
      <c r="AE287" s="4">
        <v>45985.798390046293</v>
      </c>
      <c r="AF287" s="4">
        <v>45985.798390081021</v>
      </c>
      <c r="AG287" t="s">
        <v>56</v>
      </c>
    </row>
    <row r="288" spans="1:33" x14ac:dyDescent="0.35">
      <c r="A288">
        <v>287</v>
      </c>
      <c r="B288" t="s">
        <v>724</v>
      </c>
      <c r="C288" t="s">
        <v>724</v>
      </c>
      <c r="D288" t="s">
        <v>725</v>
      </c>
      <c r="R288" t="s">
        <v>107</v>
      </c>
      <c r="AE288" s="4">
        <v>45985.798388194453</v>
      </c>
      <c r="AF288" s="4">
        <v>45985.798388263887</v>
      </c>
      <c r="AG288" t="s">
        <v>56</v>
      </c>
    </row>
    <row r="289" spans="1:33" x14ac:dyDescent="0.35">
      <c r="A289">
        <v>288</v>
      </c>
      <c r="B289" t="s">
        <v>726</v>
      </c>
      <c r="C289" t="s">
        <v>726</v>
      </c>
      <c r="D289" t="s">
        <v>727</v>
      </c>
      <c r="E289" t="s">
        <v>121</v>
      </c>
      <c r="R289" t="s">
        <v>107</v>
      </c>
      <c r="AE289" s="4">
        <v>45985.798388738433</v>
      </c>
      <c r="AF289" s="4">
        <v>45985.798389780102</v>
      </c>
      <c r="AG289" t="s">
        <v>56</v>
      </c>
    </row>
    <row r="290" spans="1:33" x14ac:dyDescent="0.35">
      <c r="A290">
        <v>289</v>
      </c>
      <c r="B290" t="s">
        <v>728</v>
      </c>
      <c r="C290" t="s">
        <v>728</v>
      </c>
      <c r="D290" t="s">
        <v>729</v>
      </c>
      <c r="E290" t="s">
        <v>169</v>
      </c>
      <c r="R290" t="s">
        <v>107</v>
      </c>
      <c r="AE290" s="4">
        <v>45985.798387581017</v>
      </c>
      <c r="AF290" s="4">
        <v>45985.798389733798</v>
      </c>
      <c r="AG290" t="s">
        <v>56</v>
      </c>
    </row>
    <row r="291" spans="1:33" x14ac:dyDescent="0.35">
      <c r="A291">
        <v>290</v>
      </c>
      <c r="B291" t="s">
        <v>730</v>
      </c>
      <c r="C291" t="s">
        <v>730</v>
      </c>
      <c r="D291" t="s">
        <v>731</v>
      </c>
      <c r="E291" t="s">
        <v>732</v>
      </c>
      <c r="R291" t="s">
        <v>107</v>
      </c>
      <c r="AE291" s="4">
        <v>45985.798387731476</v>
      </c>
      <c r="AF291" s="4">
        <v>45985.798389756943</v>
      </c>
      <c r="AG291" t="s">
        <v>56</v>
      </c>
    </row>
    <row r="292" spans="1:33" x14ac:dyDescent="0.35">
      <c r="A292">
        <v>291</v>
      </c>
      <c r="B292" t="s">
        <v>733</v>
      </c>
      <c r="C292" t="s">
        <v>733</v>
      </c>
      <c r="D292" t="s">
        <v>734</v>
      </c>
      <c r="E292" t="s">
        <v>539</v>
      </c>
      <c r="R292" t="s">
        <v>107</v>
      </c>
      <c r="AE292" s="4">
        <v>45985.798387337964</v>
      </c>
      <c r="AF292" s="4">
        <v>45985.798387337964</v>
      </c>
      <c r="AG292" t="s">
        <v>56</v>
      </c>
    </row>
    <row r="293" spans="1:33" x14ac:dyDescent="0.35">
      <c r="A293">
        <v>292</v>
      </c>
      <c r="B293" t="s">
        <v>735</v>
      </c>
      <c r="C293" t="s">
        <v>735</v>
      </c>
      <c r="D293" t="s">
        <v>736</v>
      </c>
      <c r="E293" t="s">
        <v>136</v>
      </c>
      <c r="R293" t="s">
        <v>107</v>
      </c>
      <c r="AE293" s="4">
        <v>45985.798388750001</v>
      </c>
      <c r="AF293" s="4">
        <v>45985.798389768519</v>
      </c>
      <c r="AG293" t="s">
        <v>56</v>
      </c>
    </row>
    <row r="294" spans="1:33" x14ac:dyDescent="0.35">
      <c r="A294">
        <v>293</v>
      </c>
      <c r="B294" t="s">
        <v>737</v>
      </c>
      <c r="C294" t="s">
        <v>737</v>
      </c>
      <c r="D294" t="s">
        <v>738</v>
      </c>
      <c r="R294" t="s">
        <v>107</v>
      </c>
      <c r="AE294" s="4">
        <v>45985.798390023148</v>
      </c>
      <c r="AF294" s="4">
        <v>45985.798390069453</v>
      </c>
      <c r="AG294" t="s">
        <v>56</v>
      </c>
    </row>
    <row r="295" spans="1:33" x14ac:dyDescent="0.35">
      <c r="A295">
        <v>294</v>
      </c>
      <c r="B295" t="s">
        <v>739</v>
      </c>
      <c r="C295" t="s">
        <v>739</v>
      </c>
      <c r="D295" t="s">
        <v>740</v>
      </c>
      <c r="E295" t="s">
        <v>136</v>
      </c>
      <c r="R295" t="s">
        <v>107</v>
      </c>
      <c r="AE295" s="4">
        <v>45985.798387824078</v>
      </c>
      <c r="AF295" s="4">
        <v>45985.798387824078</v>
      </c>
      <c r="AG295" t="s">
        <v>56</v>
      </c>
    </row>
    <row r="296" spans="1:33" x14ac:dyDescent="0.35">
      <c r="A296">
        <v>295</v>
      </c>
      <c r="B296" t="s">
        <v>741</v>
      </c>
      <c r="C296" t="s">
        <v>741</v>
      </c>
      <c r="D296" t="s">
        <v>742</v>
      </c>
      <c r="E296" t="s">
        <v>603</v>
      </c>
      <c r="R296" t="s">
        <v>107</v>
      </c>
      <c r="AE296" s="4">
        <v>45985.79838763889</v>
      </c>
      <c r="AF296" s="4">
        <v>45985.798387662027</v>
      </c>
      <c r="AG296" t="s">
        <v>56</v>
      </c>
    </row>
    <row r="297" spans="1:33" x14ac:dyDescent="0.35">
      <c r="A297">
        <v>296</v>
      </c>
      <c r="B297" t="s">
        <v>743</v>
      </c>
      <c r="C297" t="s">
        <v>743</v>
      </c>
      <c r="D297" t="s">
        <v>744</v>
      </c>
      <c r="E297" t="s">
        <v>745</v>
      </c>
      <c r="R297" t="s">
        <v>107</v>
      </c>
      <c r="AE297" s="4">
        <v>45985.798387256953</v>
      </c>
      <c r="AF297" s="4">
        <v>45985.798389664349</v>
      </c>
      <c r="AG297" t="s">
        <v>56</v>
      </c>
    </row>
    <row r="298" spans="1:33" x14ac:dyDescent="0.35">
      <c r="A298">
        <v>297</v>
      </c>
      <c r="B298" t="s">
        <v>746</v>
      </c>
      <c r="C298" t="s">
        <v>746</v>
      </c>
      <c r="D298" t="s">
        <v>747</v>
      </c>
      <c r="E298" t="s">
        <v>482</v>
      </c>
      <c r="R298" t="s">
        <v>107</v>
      </c>
      <c r="AE298" s="4">
        <v>45985.798387268522</v>
      </c>
      <c r="AF298" s="4">
        <v>45985.798390081021</v>
      </c>
      <c r="AG298" t="s">
        <v>56</v>
      </c>
    </row>
    <row r="299" spans="1:33" x14ac:dyDescent="0.35">
      <c r="A299">
        <v>298</v>
      </c>
      <c r="B299" t="s">
        <v>748</v>
      </c>
      <c r="C299" t="s">
        <v>748</v>
      </c>
      <c r="D299" t="s">
        <v>749</v>
      </c>
      <c r="E299" t="s">
        <v>750</v>
      </c>
      <c r="R299" t="s">
        <v>107</v>
      </c>
      <c r="AE299" s="4">
        <v>45985.79838871528</v>
      </c>
      <c r="AF299" s="4">
        <v>45985.798390081021</v>
      </c>
      <c r="AG299" t="s">
        <v>56</v>
      </c>
    </row>
    <row r="300" spans="1:33" x14ac:dyDescent="0.35">
      <c r="A300">
        <v>299</v>
      </c>
      <c r="B300" t="s">
        <v>751</v>
      </c>
      <c r="C300" t="s">
        <v>751</v>
      </c>
      <c r="D300" t="s">
        <v>752</v>
      </c>
      <c r="E300" t="s">
        <v>750</v>
      </c>
      <c r="R300" t="s">
        <v>122</v>
      </c>
      <c r="AE300" s="4">
        <v>45985.798387361108</v>
      </c>
      <c r="AF300" s="4">
        <v>45985.798387905103</v>
      </c>
      <c r="AG300" t="s">
        <v>56</v>
      </c>
    </row>
    <row r="301" spans="1:33" x14ac:dyDescent="0.35">
      <c r="A301">
        <v>300</v>
      </c>
      <c r="B301" t="s">
        <v>753</v>
      </c>
      <c r="C301" t="s">
        <v>753</v>
      </c>
      <c r="D301" t="s">
        <v>754</v>
      </c>
      <c r="E301" t="s">
        <v>505</v>
      </c>
      <c r="R301" t="s">
        <v>107</v>
      </c>
      <c r="AE301" s="4">
        <v>45985.798387280091</v>
      </c>
      <c r="AF301" s="4">
        <v>45985.798389722222</v>
      </c>
      <c r="AG301" t="s">
        <v>56</v>
      </c>
    </row>
    <row r="302" spans="1:33" x14ac:dyDescent="0.35">
      <c r="A302">
        <v>301</v>
      </c>
      <c r="B302" t="s">
        <v>755</v>
      </c>
      <c r="C302" t="s">
        <v>755</v>
      </c>
      <c r="D302" t="s">
        <v>756</v>
      </c>
      <c r="E302" t="s">
        <v>558</v>
      </c>
      <c r="R302" t="s">
        <v>107</v>
      </c>
      <c r="AE302" s="4">
        <v>45985.798388553238</v>
      </c>
      <c r="AF302" s="4">
        <v>45985.798389791657</v>
      </c>
      <c r="AG302" t="s">
        <v>56</v>
      </c>
    </row>
    <row r="303" spans="1:33" x14ac:dyDescent="0.35">
      <c r="A303">
        <v>302</v>
      </c>
      <c r="B303" t="s">
        <v>757</v>
      </c>
      <c r="C303" t="s">
        <v>757</v>
      </c>
      <c r="D303" t="s">
        <v>758</v>
      </c>
      <c r="E303" t="s">
        <v>510</v>
      </c>
      <c r="R303" t="s">
        <v>107</v>
      </c>
      <c r="AE303" s="4">
        <v>45985.79838724537</v>
      </c>
      <c r="AF303" s="4">
        <v>45985.798390081021</v>
      </c>
      <c r="AG303" t="s">
        <v>56</v>
      </c>
    </row>
    <row r="304" spans="1:33" x14ac:dyDescent="0.35">
      <c r="A304">
        <v>303</v>
      </c>
      <c r="B304" t="s">
        <v>759</v>
      </c>
      <c r="C304" t="s">
        <v>759</v>
      </c>
      <c r="D304" t="s">
        <v>760</v>
      </c>
      <c r="E304" t="s">
        <v>761</v>
      </c>
      <c r="R304" t="s">
        <v>107</v>
      </c>
      <c r="AE304" s="4">
        <v>45985.798388344912</v>
      </c>
      <c r="AF304" s="4">
        <v>45985.798389837961</v>
      </c>
      <c r="AG304" t="s">
        <v>56</v>
      </c>
    </row>
    <row r="305" spans="1:33" x14ac:dyDescent="0.35">
      <c r="A305">
        <v>304</v>
      </c>
      <c r="B305" t="s">
        <v>762</v>
      </c>
      <c r="C305" t="s">
        <v>762</v>
      </c>
      <c r="D305" t="s">
        <v>763</v>
      </c>
      <c r="E305" t="s">
        <v>505</v>
      </c>
      <c r="R305" t="s">
        <v>107</v>
      </c>
      <c r="AE305" s="4">
        <v>45985.798387696763</v>
      </c>
      <c r="AF305" s="4">
        <v>45985.798387696763</v>
      </c>
      <c r="AG305" t="s">
        <v>56</v>
      </c>
    </row>
    <row r="306" spans="1:33" x14ac:dyDescent="0.35">
      <c r="A306">
        <v>305</v>
      </c>
      <c r="B306" t="s">
        <v>764</v>
      </c>
      <c r="C306" t="s">
        <v>764</v>
      </c>
      <c r="D306" t="s">
        <v>765</v>
      </c>
      <c r="E306" t="s">
        <v>160</v>
      </c>
      <c r="R306" t="s">
        <v>107</v>
      </c>
      <c r="AE306" s="4">
        <v>45985.798387662027</v>
      </c>
      <c r="AF306" s="4">
        <v>45985.798389675932</v>
      </c>
      <c r="AG306" t="s">
        <v>56</v>
      </c>
    </row>
    <row r="307" spans="1:33" x14ac:dyDescent="0.35">
      <c r="A307">
        <v>306</v>
      </c>
      <c r="B307" t="s">
        <v>766</v>
      </c>
      <c r="C307" t="s">
        <v>766</v>
      </c>
      <c r="D307" t="s">
        <v>767</v>
      </c>
      <c r="R307" t="s">
        <v>107</v>
      </c>
      <c r="AE307" s="4">
        <v>45985.798389502314</v>
      </c>
      <c r="AF307" s="4">
        <v>45985.798390081021</v>
      </c>
      <c r="AG307" t="s">
        <v>56</v>
      </c>
    </row>
    <row r="308" spans="1:33" x14ac:dyDescent="0.35">
      <c r="A308">
        <v>307</v>
      </c>
      <c r="B308" t="s">
        <v>768</v>
      </c>
      <c r="C308" t="s">
        <v>768</v>
      </c>
      <c r="D308" t="s">
        <v>769</v>
      </c>
      <c r="E308" t="s">
        <v>128</v>
      </c>
      <c r="R308" t="s">
        <v>107</v>
      </c>
      <c r="AE308" s="4">
        <v>45985.798387430557</v>
      </c>
      <c r="AF308" s="4">
        <v>45985.798389710653</v>
      </c>
      <c r="AG308" t="s">
        <v>56</v>
      </c>
    </row>
    <row r="309" spans="1:33" x14ac:dyDescent="0.35">
      <c r="A309">
        <v>308</v>
      </c>
      <c r="B309" t="s">
        <v>770</v>
      </c>
      <c r="C309" t="s">
        <v>770</v>
      </c>
      <c r="D309" t="s">
        <v>771</v>
      </c>
      <c r="E309" t="s">
        <v>772</v>
      </c>
      <c r="R309" t="s">
        <v>107</v>
      </c>
      <c r="AE309" s="4">
        <v>45985.798387766197</v>
      </c>
      <c r="AF309" s="4">
        <v>45985.798387766197</v>
      </c>
      <c r="AG309" t="s">
        <v>56</v>
      </c>
    </row>
    <row r="310" spans="1:33" x14ac:dyDescent="0.35">
      <c r="A310">
        <v>309</v>
      </c>
      <c r="B310" t="s">
        <v>773</v>
      </c>
      <c r="C310" t="s">
        <v>773</v>
      </c>
      <c r="D310" t="s">
        <v>774</v>
      </c>
      <c r="E310" t="s">
        <v>775</v>
      </c>
      <c r="R310" t="s">
        <v>107</v>
      </c>
      <c r="AE310" s="4">
        <v>45985.798387256953</v>
      </c>
      <c r="AF310" s="4">
        <v>45985.798389791657</v>
      </c>
      <c r="AG310" t="s">
        <v>56</v>
      </c>
    </row>
    <row r="311" spans="1:33" x14ac:dyDescent="0.35">
      <c r="A311">
        <v>310</v>
      </c>
      <c r="B311" t="s">
        <v>776</v>
      </c>
      <c r="C311" t="s">
        <v>776</v>
      </c>
      <c r="D311" t="s">
        <v>777</v>
      </c>
      <c r="E311" t="s">
        <v>163</v>
      </c>
      <c r="R311" t="s">
        <v>107</v>
      </c>
      <c r="AE311" s="4">
        <v>45985.798387314811</v>
      </c>
      <c r="AF311" s="4">
        <v>45985.798387314811</v>
      </c>
      <c r="AG311" t="s">
        <v>56</v>
      </c>
    </row>
    <row r="312" spans="1:33" x14ac:dyDescent="0.35">
      <c r="A312">
        <v>311</v>
      </c>
      <c r="B312" t="s">
        <v>778</v>
      </c>
      <c r="C312" t="s">
        <v>778</v>
      </c>
      <c r="D312" t="s">
        <v>779</v>
      </c>
      <c r="E312" t="s">
        <v>121</v>
      </c>
      <c r="R312" t="s">
        <v>107</v>
      </c>
      <c r="AE312" s="4">
        <v>45985.798388958327</v>
      </c>
      <c r="AF312" s="4">
        <v>45985.798389733798</v>
      </c>
      <c r="AG312" t="s">
        <v>56</v>
      </c>
    </row>
    <row r="313" spans="1:33" x14ac:dyDescent="0.35">
      <c r="A313">
        <v>312</v>
      </c>
      <c r="B313" t="s">
        <v>780</v>
      </c>
      <c r="C313" t="s">
        <v>780</v>
      </c>
      <c r="D313" t="s">
        <v>781</v>
      </c>
      <c r="E313" t="s">
        <v>782</v>
      </c>
      <c r="R313" t="s">
        <v>107</v>
      </c>
      <c r="AE313" s="4">
        <v>45985.798387395836</v>
      </c>
      <c r="AF313" s="4">
        <v>45985.798387395836</v>
      </c>
      <c r="AG313" t="s">
        <v>56</v>
      </c>
    </row>
    <row r="314" spans="1:33" x14ac:dyDescent="0.35">
      <c r="A314">
        <v>313</v>
      </c>
      <c r="B314" t="s">
        <v>783</v>
      </c>
      <c r="C314" t="s">
        <v>783</v>
      </c>
      <c r="D314" t="s">
        <v>784</v>
      </c>
      <c r="E314" t="s">
        <v>584</v>
      </c>
      <c r="R314" t="s">
        <v>122</v>
      </c>
      <c r="AE314" s="4">
        <v>45985.79838734954</v>
      </c>
      <c r="AF314" s="4">
        <v>45985.798387893519</v>
      </c>
      <c r="AG314" t="s">
        <v>56</v>
      </c>
    </row>
    <row r="315" spans="1:33" x14ac:dyDescent="0.35">
      <c r="A315">
        <v>314</v>
      </c>
      <c r="B315" t="s">
        <v>785</v>
      </c>
      <c r="C315" t="s">
        <v>785</v>
      </c>
      <c r="D315" t="s">
        <v>786</v>
      </c>
      <c r="E315" t="s">
        <v>787</v>
      </c>
      <c r="R315" t="s">
        <v>122</v>
      </c>
      <c r="AE315" s="4">
        <v>45985.798387488423</v>
      </c>
      <c r="AF315" s="4">
        <v>45985.798387974537</v>
      </c>
      <c r="AG315" t="s">
        <v>56</v>
      </c>
    </row>
    <row r="316" spans="1:33" x14ac:dyDescent="0.35">
      <c r="A316">
        <v>315</v>
      </c>
      <c r="B316" t="s">
        <v>788</v>
      </c>
      <c r="C316" t="s">
        <v>788</v>
      </c>
      <c r="D316" t="s">
        <v>789</v>
      </c>
      <c r="E316" t="s">
        <v>790</v>
      </c>
      <c r="R316" t="s">
        <v>110</v>
      </c>
      <c r="AE316" s="4">
        <v>45985.798387673611</v>
      </c>
      <c r="AF316" s="4">
        <v>45985.798388055548</v>
      </c>
      <c r="AG316" t="s">
        <v>56</v>
      </c>
    </row>
    <row r="317" spans="1:33" x14ac:dyDescent="0.35">
      <c r="A317">
        <v>316</v>
      </c>
      <c r="B317" t="s">
        <v>791</v>
      </c>
      <c r="C317" t="s">
        <v>791</v>
      </c>
      <c r="D317" t="s">
        <v>792</v>
      </c>
      <c r="E317" t="s">
        <v>793</v>
      </c>
      <c r="R317" t="s">
        <v>107</v>
      </c>
      <c r="AE317" s="4">
        <v>45985.798387361108</v>
      </c>
      <c r="AF317" s="4">
        <v>45985.798389988428</v>
      </c>
      <c r="AG317" t="s">
        <v>56</v>
      </c>
    </row>
    <row r="318" spans="1:33" x14ac:dyDescent="0.35">
      <c r="A318">
        <v>317</v>
      </c>
      <c r="B318" t="s">
        <v>794</v>
      </c>
      <c r="C318" t="s">
        <v>794</v>
      </c>
      <c r="D318" t="s">
        <v>795</v>
      </c>
      <c r="E318" t="s">
        <v>787</v>
      </c>
      <c r="R318" t="s">
        <v>107</v>
      </c>
      <c r="AE318" s="4">
        <v>45985.798387511582</v>
      </c>
      <c r="AF318" s="4">
        <v>45985.798387511582</v>
      </c>
      <c r="AG318" t="s">
        <v>56</v>
      </c>
    </row>
    <row r="319" spans="1:33" x14ac:dyDescent="0.35">
      <c r="A319">
        <v>318</v>
      </c>
      <c r="B319" t="s">
        <v>796</v>
      </c>
      <c r="C319" t="s">
        <v>796</v>
      </c>
      <c r="D319" t="s">
        <v>797</v>
      </c>
      <c r="R319" t="s">
        <v>107</v>
      </c>
      <c r="AE319" s="4">
        <v>45985.798389953707</v>
      </c>
      <c r="AF319" s="4">
        <v>45985.798389953707</v>
      </c>
      <c r="AG319" t="s">
        <v>56</v>
      </c>
    </row>
    <row r="320" spans="1:33" x14ac:dyDescent="0.35">
      <c r="A320">
        <v>319</v>
      </c>
      <c r="B320" t="s">
        <v>798</v>
      </c>
      <c r="C320" t="s">
        <v>798</v>
      </c>
      <c r="D320" t="s">
        <v>799</v>
      </c>
      <c r="E320" t="s">
        <v>800</v>
      </c>
      <c r="R320" t="s">
        <v>107</v>
      </c>
      <c r="AE320" s="4">
        <v>45985.798387546303</v>
      </c>
      <c r="AF320" s="4">
        <v>45985.798387789349</v>
      </c>
      <c r="AG320" t="s">
        <v>56</v>
      </c>
    </row>
    <row r="321" spans="1:33" x14ac:dyDescent="0.35">
      <c r="A321">
        <v>320</v>
      </c>
      <c r="B321" t="s">
        <v>801</v>
      </c>
      <c r="C321" t="s">
        <v>801</v>
      </c>
      <c r="D321" t="s">
        <v>802</v>
      </c>
      <c r="E321" t="s">
        <v>803</v>
      </c>
      <c r="R321" t="s">
        <v>107</v>
      </c>
      <c r="AE321" s="4">
        <v>45985.798388368057</v>
      </c>
      <c r="AF321" s="4">
        <v>45985.798389849537</v>
      </c>
      <c r="AG321" t="s">
        <v>56</v>
      </c>
    </row>
    <row r="322" spans="1:33" x14ac:dyDescent="0.35">
      <c r="A322">
        <v>321</v>
      </c>
      <c r="B322" t="s">
        <v>804</v>
      </c>
      <c r="C322" t="s">
        <v>804</v>
      </c>
      <c r="D322" t="s">
        <v>805</v>
      </c>
      <c r="E322" t="s">
        <v>790</v>
      </c>
      <c r="R322" t="s">
        <v>107</v>
      </c>
      <c r="AE322" s="4">
        <v>45985.798387557872</v>
      </c>
      <c r="AF322" s="4">
        <v>45985.798387557872</v>
      </c>
      <c r="AG322" t="s">
        <v>56</v>
      </c>
    </row>
    <row r="323" spans="1:33" x14ac:dyDescent="0.35">
      <c r="A323">
        <v>322</v>
      </c>
      <c r="B323" t="s">
        <v>806</v>
      </c>
      <c r="C323" t="s">
        <v>806</v>
      </c>
      <c r="D323" t="s">
        <v>807</v>
      </c>
      <c r="E323" t="s">
        <v>808</v>
      </c>
      <c r="R323" t="s">
        <v>107</v>
      </c>
      <c r="AE323" s="4">
        <v>45985.798387326387</v>
      </c>
      <c r="AF323" s="4">
        <v>45985.798387326387</v>
      </c>
      <c r="AG323" t="s">
        <v>56</v>
      </c>
    </row>
    <row r="324" spans="1:33" x14ac:dyDescent="0.35">
      <c r="A324">
        <v>323</v>
      </c>
      <c r="B324" t="s">
        <v>809</v>
      </c>
      <c r="C324" t="s">
        <v>809</v>
      </c>
      <c r="D324" t="s">
        <v>810</v>
      </c>
      <c r="E324" t="s">
        <v>663</v>
      </c>
      <c r="R324" t="s">
        <v>107</v>
      </c>
      <c r="AE324" s="4">
        <v>45985.798387453702</v>
      </c>
      <c r="AF324" s="4">
        <v>45985.798387453702</v>
      </c>
      <c r="AG324" t="s">
        <v>56</v>
      </c>
    </row>
    <row r="325" spans="1:33" x14ac:dyDescent="0.35">
      <c r="A325">
        <v>324</v>
      </c>
      <c r="B325" t="s">
        <v>811</v>
      </c>
      <c r="C325" t="s">
        <v>811</v>
      </c>
      <c r="D325" t="s">
        <v>812</v>
      </c>
      <c r="AE325" s="4">
        <v>45985.798389837961</v>
      </c>
      <c r="AF325" s="4">
        <v>45985.798389837961</v>
      </c>
      <c r="AG325" t="s">
        <v>56</v>
      </c>
    </row>
    <row r="326" spans="1:33" x14ac:dyDescent="0.35">
      <c r="A326">
        <v>325</v>
      </c>
      <c r="B326" t="s">
        <v>813</v>
      </c>
      <c r="C326" t="s">
        <v>813</v>
      </c>
      <c r="D326" t="s">
        <v>814</v>
      </c>
      <c r="E326" t="s">
        <v>505</v>
      </c>
      <c r="R326" t="s">
        <v>107</v>
      </c>
      <c r="AE326" s="4">
        <v>45985.798388946758</v>
      </c>
      <c r="AF326" s="4">
        <v>45985.798389988428</v>
      </c>
      <c r="AG326" t="s">
        <v>56</v>
      </c>
    </row>
    <row r="327" spans="1:33" x14ac:dyDescent="0.35">
      <c r="A327">
        <v>326</v>
      </c>
      <c r="B327" t="s">
        <v>815</v>
      </c>
      <c r="C327" t="s">
        <v>815</v>
      </c>
      <c r="D327" t="s">
        <v>816</v>
      </c>
      <c r="E327" t="s">
        <v>106</v>
      </c>
      <c r="R327" t="s">
        <v>107</v>
      </c>
      <c r="AE327" s="4">
        <v>45985.798387476847</v>
      </c>
      <c r="AF327" s="4">
        <v>45985.798389756943</v>
      </c>
      <c r="AG327" t="s">
        <v>56</v>
      </c>
    </row>
    <row r="328" spans="1:33" x14ac:dyDescent="0.35">
      <c r="A328">
        <v>327</v>
      </c>
      <c r="B328" t="s">
        <v>817</v>
      </c>
      <c r="C328" t="s">
        <v>817</v>
      </c>
      <c r="D328" t="s">
        <v>818</v>
      </c>
      <c r="E328" t="s">
        <v>819</v>
      </c>
      <c r="R328" t="s">
        <v>107</v>
      </c>
      <c r="AE328" s="4">
        <v>45985.798387337964</v>
      </c>
      <c r="AF328" s="4">
        <v>45985.79838734954</v>
      </c>
      <c r="AG328" t="s">
        <v>56</v>
      </c>
    </row>
    <row r="329" spans="1:33" x14ac:dyDescent="0.35">
      <c r="A329">
        <v>328</v>
      </c>
      <c r="B329" t="s">
        <v>820</v>
      </c>
      <c r="C329" t="s">
        <v>820</v>
      </c>
      <c r="D329" t="s">
        <v>821</v>
      </c>
      <c r="E329" t="s">
        <v>822</v>
      </c>
      <c r="R329" t="s">
        <v>107</v>
      </c>
      <c r="AE329" s="4">
        <v>45985.798388287039</v>
      </c>
      <c r="AF329" s="4">
        <v>45985.79839009259</v>
      </c>
      <c r="AG329" t="s">
        <v>56</v>
      </c>
    </row>
    <row r="330" spans="1:33" x14ac:dyDescent="0.35">
      <c r="A330">
        <v>329</v>
      </c>
      <c r="B330" t="s">
        <v>823</v>
      </c>
      <c r="C330" t="s">
        <v>823</v>
      </c>
      <c r="D330" t="s">
        <v>824</v>
      </c>
      <c r="E330" t="s">
        <v>106</v>
      </c>
      <c r="R330" t="s">
        <v>122</v>
      </c>
      <c r="AE330" s="4">
        <v>45985.798387777781</v>
      </c>
      <c r="AF330" s="4">
        <v>45985.798388078707</v>
      </c>
      <c r="AG330" t="s">
        <v>56</v>
      </c>
    </row>
    <row r="331" spans="1:33" x14ac:dyDescent="0.35">
      <c r="A331">
        <v>330</v>
      </c>
      <c r="B331" t="s">
        <v>825</v>
      </c>
      <c r="C331" t="s">
        <v>825</v>
      </c>
      <c r="D331" t="s">
        <v>826</v>
      </c>
      <c r="E331" t="s">
        <v>106</v>
      </c>
      <c r="R331" t="s">
        <v>122</v>
      </c>
      <c r="AE331" s="4">
        <v>45985.798389895826</v>
      </c>
      <c r="AF331" s="4">
        <v>45985.798389895826</v>
      </c>
      <c r="AG331" t="s">
        <v>56</v>
      </c>
    </row>
    <row r="332" spans="1:33" x14ac:dyDescent="0.35">
      <c r="A332">
        <v>331</v>
      </c>
      <c r="B332" t="s">
        <v>827</v>
      </c>
      <c r="C332" t="s">
        <v>827</v>
      </c>
      <c r="D332" t="s">
        <v>827</v>
      </c>
      <c r="E332" t="s">
        <v>827</v>
      </c>
      <c r="R332" t="s">
        <v>827</v>
      </c>
      <c r="AE332" s="4">
        <v>45985.798388784722</v>
      </c>
      <c r="AF332" s="4">
        <v>45985.798388935182</v>
      </c>
      <c r="AG332" t="s">
        <v>56</v>
      </c>
    </row>
    <row r="333" spans="1:33" x14ac:dyDescent="0.35">
      <c r="A333">
        <v>332</v>
      </c>
      <c r="B333" t="s">
        <v>828</v>
      </c>
      <c r="C333" t="s">
        <v>828</v>
      </c>
      <c r="D333" t="s">
        <v>829</v>
      </c>
      <c r="E333" t="s">
        <v>106</v>
      </c>
      <c r="R333" t="s">
        <v>107</v>
      </c>
      <c r="AE333" s="4">
        <v>45985.798388946758</v>
      </c>
      <c r="AF333" s="4">
        <v>45985.798389826392</v>
      </c>
      <c r="AG333" t="s">
        <v>56</v>
      </c>
    </row>
    <row r="334" spans="1:33" x14ac:dyDescent="0.35">
      <c r="A334">
        <v>333</v>
      </c>
      <c r="B334" t="s">
        <v>830</v>
      </c>
      <c r="C334" t="s">
        <v>830</v>
      </c>
      <c r="D334" t="s">
        <v>831</v>
      </c>
      <c r="E334" t="s">
        <v>106</v>
      </c>
      <c r="R334" t="s">
        <v>107</v>
      </c>
      <c r="AE334" s="4">
        <v>45985.798388518517</v>
      </c>
      <c r="AF334" s="4">
        <v>45985.798389791657</v>
      </c>
      <c r="AG334" t="s">
        <v>56</v>
      </c>
    </row>
    <row r="335" spans="1:33" x14ac:dyDescent="0.35">
      <c r="A335">
        <v>334</v>
      </c>
      <c r="B335" t="s">
        <v>832</v>
      </c>
      <c r="C335" t="s">
        <v>832</v>
      </c>
      <c r="D335" t="s">
        <v>833</v>
      </c>
      <c r="E335" t="s">
        <v>106</v>
      </c>
      <c r="R335" t="s">
        <v>107</v>
      </c>
      <c r="AE335" s="4">
        <v>45985.798387418981</v>
      </c>
      <c r="AF335" s="4">
        <v>45985.798389965283</v>
      </c>
      <c r="AG335" t="s">
        <v>56</v>
      </c>
    </row>
    <row r="336" spans="1:33" x14ac:dyDescent="0.35">
      <c r="A336">
        <v>335</v>
      </c>
      <c r="B336" t="s">
        <v>834</v>
      </c>
      <c r="C336" t="s">
        <v>834</v>
      </c>
      <c r="D336" t="s">
        <v>835</v>
      </c>
      <c r="E336" t="s">
        <v>106</v>
      </c>
      <c r="R336" t="s">
        <v>107</v>
      </c>
      <c r="AE336" s="4">
        <v>45985.798388252311</v>
      </c>
      <c r="AF336" s="4">
        <v>45985.798389814823</v>
      </c>
      <c r="AG336" t="s">
        <v>56</v>
      </c>
    </row>
    <row r="337" spans="1:33" x14ac:dyDescent="0.35">
      <c r="A337">
        <v>336</v>
      </c>
      <c r="B337" t="s">
        <v>836</v>
      </c>
      <c r="C337" t="s">
        <v>836</v>
      </c>
      <c r="D337" t="s">
        <v>837</v>
      </c>
      <c r="E337" t="s">
        <v>106</v>
      </c>
      <c r="R337" t="s">
        <v>107</v>
      </c>
      <c r="AE337" s="4">
        <v>45985.798389270843</v>
      </c>
      <c r="AF337" s="4">
        <v>45985.798389664349</v>
      </c>
      <c r="AG337" t="s">
        <v>56</v>
      </c>
    </row>
    <row r="338" spans="1:33" x14ac:dyDescent="0.35">
      <c r="A338">
        <v>337</v>
      </c>
      <c r="B338" t="s">
        <v>838</v>
      </c>
      <c r="C338" t="s">
        <v>838</v>
      </c>
      <c r="D338" t="s">
        <v>839</v>
      </c>
      <c r="E338" t="s">
        <v>106</v>
      </c>
      <c r="R338" t="s">
        <v>107</v>
      </c>
      <c r="AE338" s="4">
        <v>45985.798387592593</v>
      </c>
      <c r="AF338" s="4">
        <v>45985.79838980324</v>
      </c>
      <c r="AG338" t="s">
        <v>56</v>
      </c>
    </row>
    <row r="339" spans="1:33" x14ac:dyDescent="0.35">
      <c r="A339">
        <v>338</v>
      </c>
      <c r="B339" t="s">
        <v>840</v>
      </c>
      <c r="C339" t="s">
        <v>840</v>
      </c>
      <c r="D339" t="s">
        <v>841</v>
      </c>
      <c r="E339" t="s">
        <v>106</v>
      </c>
      <c r="R339" t="s">
        <v>107</v>
      </c>
      <c r="AE339" s="4">
        <v>45985.798387453702</v>
      </c>
      <c r="AF339" s="4">
        <v>45985.798387453702</v>
      </c>
      <c r="AG339" t="s">
        <v>56</v>
      </c>
    </row>
    <row r="340" spans="1:33" x14ac:dyDescent="0.35">
      <c r="A340">
        <v>339</v>
      </c>
      <c r="B340" t="s">
        <v>842</v>
      </c>
      <c r="C340" t="s">
        <v>842</v>
      </c>
      <c r="D340" t="s">
        <v>843</v>
      </c>
      <c r="E340" t="s">
        <v>106</v>
      </c>
      <c r="R340" t="s">
        <v>107</v>
      </c>
      <c r="AE340" s="4">
        <v>45985.798387557872</v>
      </c>
      <c r="AF340" s="4">
        <v>45985.798389699077</v>
      </c>
      <c r="AG340" t="s">
        <v>56</v>
      </c>
    </row>
    <row r="341" spans="1:33" x14ac:dyDescent="0.35">
      <c r="A341">
        <v>340</v>
      </c>
      <c r="B341" t="s">
        <v>844</v>
      </c>
      <c r="C341" t="s">
        <v>844</v>
      </c>
      <c r="D341" t="s">
        <v>845</v>
      </c>
      <c r="E341" t="s">
        <v>106</v>
      </c>
      <c r="R341" t="s">
        <v>107</v>
      </c>
      <c r="AE341" s="4">
        <v>45985.798388483803</v>
      </c>
      <c r="AF341" s="4">
        <v>45985.79838980324</v>
      </c>
      <c r="AG341" t="s">
        <v>56</v>
      </c>
    </row>
    <row r="342" spans="1:33" x14ac:dyDescent="0.35">
      <c r="A342">
        <v>341</v>
      </c>
      <c r="B342" t="s">
        <v>846</v>
      </c>
      <c r="C342" t="s">
        <v>846</v>
      </c>
      <c r="D342" t="s">
        <v>847</v>
      </c>
      <c r="E342" t="s">
        <v>510</v>
      </c>
      <c r="R342" t="s">
        <v>107</v>
      </c>
      <c r="AE342" s="4">
        <v>45985.79838753472</v>
      </c>
      <c r="AF342" s="4">
        <v>45985.798389675932</v>
      </c>
      <c r="AG342" t="s">
        <v>56</v>
      </c>
    </row>
    <row r="343" spans="1:33" x14ac:dyDescent="0.35">
      <c r="A343">
        <v>342</v>
      </c>
      <c r="B343" t="s">
        <v>848</v>
      </c>
      <c r="C343" t="s">
        <v>848</v>
      </c>
      <c r="D343" t="s">
        <v>849</v>
      </c>
      <c r="E343" t="s">
        <v>106</v>
      </c>
      <c r="R343" t="s">
        <v>107</v>
      </c>
      <c r="AE343" s="4">
        <v>45985.798387800933</v>
      </c>
      <c r="AF343" s="4">
        <v>45985.798388333344</v>
      </c>
      <c r="AG343" t="s">
        <v>56</v>
      </c>
    </row>
    <row r="344" spans="1:33" x14ac:dyDescent="0.35">
      <c r="A344">
        <v>343</v>
      </c>
      <c r="B344" t="s">
        <v>850</v>
      </c>
      <c r="C344" t="s">
        <v>850</v>
      </c>
      <c r="D344" t="s">
        <v>851</v>
      </c>
      <c r="E344" t="s">
        <v>106</v>
      </c>
      <c r="R344" t="s">
        <v>107</v>
      </c>
      <c r="AE344" s="4">
        <v>45985.798388495372</v>
      </c>
      <c r="AF344" s="4">
        <v>45985.798389965283</v>
      </c>
      <c r="AG344" t="s">
        <v>56</v>
      </c>
    </row>
    <row r="345" spans="1:33" x14ac:dyDescent="0.35">
      <c r="A345">
        <v>344</v>
      </c>
      <c r="B345" t="s">
        <v>852</v>
      </c>
      <c r="C345" t="s">
        <v>852</v>
      </c>
      <c r="D345" t="s">
        <v>853</v>
      </c>
      <c r="E345" t="s">
        <v>106</v>
      </c>
      <c r="R345" t="s">
        <v>107</v>
      </c>
      <c r="AE345" s="4">
        <v>45985.798387604169</v>
      </c>
      <c r="AF345" s="4">
        <v>45985.798388252311</v>
      </c>
      <c r="AG345" t="s">
        <v>56</v>
      </c>
    </row>
    <row r="346" spans="1:33" x14ac:dyDescent="0.35">
      <c r="A346">
        <v>345</v>
      </c>
      <c r="B346" t="s">
        <v>854</v>
      </c>
      <c r="C346" t="s">
        <v>854</v>
      </c>
      <c r="D346" t="s">
        <v>855</v>
      </c>
      <c r="E346" t="s">
        <v>106</v>
      </c>
      <c r="R346" t="s">
        <v>107</v>
      </c>
      <c r="AE346" s="4">
        <v>45985.798387777781</v>
      </c>
      <c r="AF346" s="4">
        <v>45985.798389861113</v>
      </c>
      <c r="AG346" t="s">
        <v>56</v>
      </c>
    </row>
    <row r="347" spans="1:33" x14ac:dyDescent="0.35">
      <c r="A347">
        <v>346</v>
      </c>
      <c r="B347" t="s">
        <v>856</v>
      </c>
      <c r="C347" t="s">
        <v>856</v>
      </c>
      <c r="D347" t="s">
        <v>857</v>
      </c>
      <c r="E347" t="s">
        <v>106</v>
      </c>
      <c r="R347" t="s">
        <v>107</v>
      </c>
      <c r="AE347" s="4">
        <v>45985.798388541669</v>
      </c>
      <c r="AF347" s="4">
        <v>45985.798389710653</v>
      </c>
      <c r="AG347" t="s">
        <v>56</v>
      </c>
    </row>
    <row r="348" spans="1:33" x14ac:dyDescent="0.35">
      <c r="A348">
        <v>347</v>
      </c>
      <c r="B348" t="s">
        <v>858</v>
      </c>
      <c r="C348" t="s">
        <v>858</v>
      </c>
      <c r="D348" t="s">
        <v>859</v>
      </c>
      <c r="E348" t="s">
        <v>106</v>
      </c>
      <c r="R348" t="s">
        <v>107</v>
      </c>
      <c r="AE348" s="4">
        <v>45985.79838871528</v>
      </c>
      <c r="AF348" s="4">
        <v>45985.798389768519</v>
      </c>
      <c r="AG348" t="s">
        <v>56</v>
      </c>
    </row>
    <row r="349" spans="1:33" x14ac:dyDescent="0.35">
      <c r="A349">
        <v>348</v>
      </c>
      <c r="B349" t="s">
        <v>860</v>
      </c>
      <c r="C349" t="s">
        <v>860</v>
      </c>
      <c r="D349" t="s">
        <v>861</v>
      </c>
      <c r="E349" t="s">
        <v>106</v>
      </c>
      <c r="R349" t="s">
        <v>107</v>
      </c>
      <c r="AE349" s="4">
        <v>45985.798388460651</v>
      </c>
      <c r="AF349" s="4">
        <v>45985.798389976851</v>
      </c>
      <c r="AG349" t="s">
        <v>56</v>
      </c>
    </row>
    <row r="350" spans="1:33" x14ac:dyDescent="0.35">
      <c r="A350">
        <v>349</v>
      </c>
      <c r="B350" t="s">
        <v>862</v>
      </c>
      <c r="C350" t="s">
        <v>862</v>
      </c>
      <c r="D350" t="s">
        <v>863</v>
      </c>
      <c r="E350" t="s">
        <v>575</v>
      </c>
      <c r="R350" t="s">
        <v>107</v>
      </c>
      <c r="AE350" s="4">
        <v>45985.79838738426</v>
      </c>
      <c r="AF350" s="4">
        <v>45985.798389664349</v>
      </c>
      <c r="AG350" t="s">
        <v>56</v>
      </c>
    </row>
    <row r="351" spans="1:33" x14ac:dyDescent="0.35">
      <c r="A351">
        <v>350</v>
      </c>
      <c r="B351" t="s">
        <v>864</v>
      </c>
      <c r="C351" t="s">
        <v>864</v>
      </c>
      <c r="D351" t="s">
        <v>865</v>
      </c>
      <c r="E351" t="s">
        <v>221</v>
      </c>
      <c r="R351" t="s">
        <v>107</v>
      </c>
      <c r="AE351" s="4">
        <v>45985.798387592593</v>
      </c>
      <c r="AF351" s="4">
        <v>45985.798388333344</v>
      </c>
      <c r="AG351" t="s">
        <v>56</v>
      </c>
    </row>
    <row r="352" spans="1:33" x14ac:dyDescent="0.35">
      <c r="A352">
        <v>351</v>
      </c>
      <c r="B352" t="s">
        <v>866</v>
      </c>
      <c r="C352" t="s">
        <v>866</v>
      </c>
      <c r="D352" t="s">
        <v>867</v>
      </c>
      <c r="E352" t="s">
        <v>868</v>
      </c>
      <c r="R352" t="s">
        <v>107</v>
      </c>
      <c r="AE352" s="4">
        <v>45985.798388854157</v>
      </c>
      <c r="AF352" s="4">
        <v>45985.798389756943</v>
      </c>
      <c r="AG352" t="s">
        <v>56</v>
      </c>
    </row>
    <row r="353" spans="1:33" x14ac:dyDescent="0.35">
      <c r="A353">
        <v>352</v>
      </c>
      <c r="B353" t="s">
        <v>869</v>
      </c>
      <c r="C353" t="s">
        <v>869</v>
      </c>
      <c r="D353" t="s">
        <v>870</v>
      </c>
      <c r="E353" t="s">
        <v>106</v>
      </c>
      <c r="R353" t="s">
        <v>107</v>
      </c>
      <c r="AE353" s="4">
        <v>45985.798389050928</v>
      </c>
      <c r="AF353" s="4">
        <v>45985.798389710653</v>
      </c>
      <c r="AG353" t="s">
        <v>56</v>
      </c>
    </row>
    <row r="354" spans="1:33" x14ac:dyDescent="0.35">
      <c r="A354">
        <v>353</v>
      </c>
      <c r="B354" t="s">
        <v>871</v>
      </c>
      <c r="C354" t="s">
        <v>871</v>
      </c>
      <c r="D354" t="s">
        <v>872</v>
      </c>
      <c r="E354" t="s">
        <v>106</v>
      </c>
      <c r="R354" t="s">
        <v>107</v>
      </c>
      <c r="AE354" s="4">
        <v>45985.798387650473</v>
      </c>
      <c r="AF354" s="4">
        <v>45985.79838965278</v>
      </c>
      <c r="AG354" t="s">
        <v>56</v>
      </c>
    </row>
    <row r="355" spans="1:33" x14ac:dyDescent="0.35">
      <c r="A355">
        <v>354</v>
      </c>
      <c r="B355" t="s">
        <v>873</v>
      </c>
      <c r="C355" t="s">
        <v>873</v>
      </c>
      <c r="D355" t="s">
        <v>874</v>
      </c>
      <c r="E355" t="s">
        <v>106</v>
      </c>
      <c r="R355" t="s">
        <v>107</v>
      </c>
      <c r="AE355" s="4">
        <v>45985.798388506948</v>
      </c>
      <c r="AF355" s="4">
        <v>45985.798389791657</v>
      </c>
      <c r="AG355" t="s">
        <v>56</v>
      </c>
    </row>
    <row r="356" spans="1:33" x14ac:dyDescent="0.35">
      <c r="A356">
        <v>355</v>
      </c>
      <c r="B356" t="s">
        <v>875</v>
      </c>
      <c r="C356" t="s">
        <v>875</v>
      </c>
      <c r="D356" t="s">
        <v>876</v>
      </c>
      <c r="E356" t="s">
        <v>106</v>
      </c>
      <c r="R356" t="s">
        <v>107</v>
      </c>
      <c r="AE356" s="4">
        <v>45985.798388634263</v>
      </c>
      <c r="AF356" s="4">
        <v>45985.798389780102</v>
      </c>
      <c r="AG356" t="s">
        <v>56</v>
      </c>
    </row>
    <row r="357" spans="1:33" x14ac:dyDescent="0.35">
      <c r="A357">
        <v>356</v>
      </c>
      <c r="B357" t="s">
        <v>877</v>
      </c>
      <c r="C357" t="s">
        <v>877</v>
      </c>
      <c r="D357" t="s">
        <v>878</v>
      </c>
      <c r="E357" t="s">
        <v>879</v>
      </c>
      <c r="R357" t="s">
        <v>122</v>
      </c>
      <c r="AE357" s="4">
        <v>45985.798389085649</v>
      </c>
      <c r="AF357" s="4">
        <v>45985.798389884258</v>
      </c>
      <c r="AG357" t="s">
        <v>56</v>
      </c>
    </row>
    <row r="358" spans="1:33" x14ac:dyDescent="0.35">
      <c r="A358">
        <v>357</v>
      </c>
      <c r="B358" t="s">
        <v>880</v>
      </c>
      <c r="C358" t="s">
        <v>880</v>
      </c>
      <c r="D358" t="s">
        <v>881</v>
      </c>
      <c r="E358" t="s">
        <v>106</v>
      </c>
      <c r="R358" t="s">
        <v>107</v>
      </c>
      <c r="AE358" s="4">
        <v>45985.798388379633</v>
      </c>
      <c r="AF358" s="4">
        <v>45985.798389733798</v>
      </c>
      <c r="AG358" t="s">
        <v>56</v>
      </c>
    </row>
    <row r="359" spans="1:33" x14ac:dyDescent="0.35">
      <c r="A359">
        <v>358</v>
      </c>
      <c r="B359" t="s">
        <v>882</v>
      </c>
      <c r="C359" t="s">
        <v>882</v>
      </c>
      <c r="D359" t="s">
        <v>883</v>
      </c>
      <c r="E359" t="s">
        <v>106</v>
      </c>
      <c r="R359" t="s">
        <v>107</v>
      </c>
      <c r="AE359" s="4">
        <v>45985.798387581017</v>
      </c>
      <c r="AF359" s="4">
        <v>45985.798389675932</v>
      </c>
      <c r="AG359" t="s">
        <v>56</v>
      </c>
    </row>
    <row r="360" spans="1:33" x14ac:dyDescent="0.35">
      <c r="A360">
        <v>359</v>
      </c>
      <c r="B360" t="s">
        <v>884</v>
      </c>
      <c r="C360" t="s">
        <v>884</v>
      </c>
      <c r="D360" t="s">
        <v>885</v>
      </c>
      <c r="E360" t="s">
        <v>106</v>
      </c>
      <c r="R360" t="s">
        <v>107</v>
      </c>
      <c r="AE360" s="4">
        <v>45985.798387546303</v>
      </c>
      <c r="AF360" s="4">
        <v>45985.798387546303</v>
      </c>
      <c r="AG360" t="s">
        <v>56</v>
      </c>
    </row>
    <row r="361" spans="1:33" x14ac:dyDescent="0.35">
      <c r="A361">
        <v>360</v>
      </c>
      <c r="B361" t="s">
        <v>886</v>
      </c>
      <c r="C361" t="s">
        <v>886</v>
      </c>
      <c r="D361" t="s">
        <v>887</v>
      </c>
      <c r="E361" t="s">
        <v>570</v>
      </c>
      <c r="R361" t="s">
        <v>122</v>
      </c>
      <c r="AE361" s="4">
        <v>45985.798387893519</v>
      </c>
      <c r="AF361" s="4">
        <v>45985.798387893519</v>
      </c>
      <c r="AG361" t="s">
        <v>56</v>
      </c>
    </row>
    <row r="362" spans="1:33" x14ac:dyDescent="0.35">
      <c r="A362">
        <v>361</v>
      </c>
      <c r="B362" t="s">
        <v>888</v>
      </c>
      <c r="C362" t="s">
        <v>888</v>
      </c>
      <c r="D362" t="s">
        <v>889</v>
      </c>
      <c r="E362" t="s">
        <v>163</v>
      </c>
      <c r="R362" t="s">
        <v>110</v>
      </c>
      <c r="AE362" s="4">
        <v>45985.798387847222</v>
      </c>
      <c r="AF362" s="4">
        <v>45985.798388020827</v>
      </c>
      <c r="AG362" t="s">
        <v>56</v>
      </c>
    </row>
    <row r="363" spans="1:33" x14ac:dyDescent="0.35">
      <c r="A363">
        <v>362</v>
      </c>
      <c r="B363" t="s">
        <v>890</v>
      </c>
      <c r="C363" t="s">
        <v>890</v>
      </c>
      <c r="D363" t="s">
        <v>891</v>
      </c>
      <c r="E363" t="s">
        <v>211</v>
      </c>
      <c r="R363" t="s">
        <v>122</v>
      </c>
      <c r="AE363" s="4">
        <v>45985.798387847222</v>
      </c>
      <c r="AF363" s="4">
        <v>45985.798387997682</v>
      </c>
      <c r="AG363" t="s">
        <v>56</v>
      </c>
    </row>
    <row r="364" spans="1:33" x14ac:dyDescent="0.35">
      <c r="A364">
        <v>363</v>
      </c>
      <c r="B364" t="s">
        <v>892</v>
      </c>
      <c r="C364" t="s">
        <v>892</v>
      </c>
      <c r="D364" t="s">
        <v>893</v>
      </c>
      <c r="E364" t="s">
        <v>894</v>
      </c>
      <c r="R364" t="s">
        <v>122</v>
      </c>
      <c r="AE364" s="4">
        <v>45985.798388020827</v>
      </c>
      <c r="AF364" s="4">
        <v>45985.798390057869</v>
      </c>
      <c r="AG364" t="s">
        <v>56</v>
      </c>
    </row>
    <row r="365" spans="1:33" x14ac:dyDescent="0.35">
      <c r="A365">
        <v>364</v>
      </c>
      <c r="B365" t="s">
        <v>895</v>
      </c>
      <c r="C365" t="s">
        <v>895</v>
      </c>
      <c r="D365" t="s">
        <v>896</v>
      </c>
      <c r="AE365" s="4">
        <v>45985.798389837961</v>
      </c>
      <c r="AF365" s="4">
        <v>45985.798389837961</v>
      </c>
      <c r="AG365" t="s">
        <v>56</v>
      </c>
    </row>
    <row r="366" spans="1:33" x14ac:dyDescent="0.35">
      <c r="A366">
        <v>365</v>
      </c>
      <c r="B366" t="s">
        <v>897</v>
      </c>
      <c r="C366" t="s">
        <v>897</v>
      </c>
      <c r="D366" t="s">
        <v>898</v>
      </c>
      <c r="R366" t="s">
        <v>122</v>
      </c>
      <c r="AE366" s="4">
        <v>45985.798390011572</v>
      </c>
      <c r="AF366" s="4">
        <v>45985.798390011572</v>
      </c>
      <c r="AG366" t="s">
        <v>56</v>
      </c>
    </row>
    <row r="367" spans="1:33" x14ac:dyDescent="0.35">
      <c r="A367">
        <v>366</v>
      </c>
      <c r="B367" t="s">
        <v>899</v>
      </c>
      <c r="C367" t="s">
        <v>899</v>
      </c>
      <c r="D367" t="s">
        <v>900</v>
      </c>
      <c r="R367" t="s">
        <v>122</v>
      </c>
      <c r="AE367" s="4">
        <v>45985.798389421303</v>
      </c>
      <c r="AF367" s="4">
        <v>45985.798389814823</v>
      </c>
      <c r="AG367" t="s">
        <v>56</v>
      </c>
    </row>
    <row r="368" spans="1:33" x14ac:dyDescent="0.35">
      <c r="A368">
        <v>367</v>
      </c>
      <c r="B368" t="s">
        <v>901</v>
      </c>
      <c r="C368" t="s">
        <v>901</v>
      </c>
      <c r="D368" t="s">
        <v>902</v>
      </c>
      <c r="AE368" s="4">
        <v>45985.798389814823</v>
      </c>
      <c r="AF368" s="4">
        <v>45985.798389814823</v>
      </c>
      <c r="AG368" t="s">
        <v>56</v>
      </c>
    </row>
    <row r="369" spans="1:33" x14ac:dyDescent="0.35">
      <c r="A369">
        <v>368</v>
      </c>
      <c r="B369" t="s">
        <v>903</v>
      </c>
      <c r="C369" t="s">
        <v>903</v>
      </c>
      <c r="D369" t="s">
        <v>904</v>
      </c>
      <c r="AE369" s="4">
        <v>45985.798389849537</v>
      </c>
      <c r="AF369" s="4">
        <v>45985.798389849537</v>
      </c>
      <c r="AG369" t="s">
        <v>56</v>
      </c>
    </row>
    <row r="370" spans="1:33" x14ac:dyDescent="0.35">
      <c r="A370">
        <v>369</v>
      </c>
      <c r="B370" t="s">
        <v>905</v>
      </c>
      <c r="C370" t="s">
        <v>905</v>
      </c>
      <c r="D370" t="s">
        <v>906</v>
      </c>
      <c r="E370" t="s">
        <v>894</v>
      </c>
      <c r="R370" t="s">
        <v>122</v>
      </c>
      <c r="AE370" s="4">
        <v>45985.798387997682</v>
      </c>
      <c r="AF370" s="4">
        <v>45985.798390081021</v>
      </c>
      <c r="AG370" t="s">
        <v>56</v>
      </c>
    </row>
    <row r="371" spans="1:33" x14ac:dyDescent="0.35">
      <c r="A371">
        <v>370</v>
      </c>
      <c r="B371" t="s">
        <v>907</v>
      </c>
      <c r="C371" t="s">
        <v>907</v>
      </c>
      <c r="D371" t="s">
        <v>908</v>
      </c>
      <c r="R371" t="s">
        <v>122</v>
      </c>
      <c r="AE371" s="4">
        <v>45985.798388310177</v>
      </c>
      <c r="AF371" s="4">
        <v>45985.798388310177</v>
      </c>
      <c r="AG371" t="s">
        <v>56</v>
      </c>
    </row>
    <row r="372" spans="1:33" x14ac:dyDescent="0.35">
      <c r="A372">
        <v>371</v>
      </c>
      <c r="B372" t="s">
        <v>909</v>
      </c>
      <c r="C372" t="s">
        <v>909</v>
      </c>
      <c r="D372" t="s">
        <v>910</v>
      </c>
      <c r="R372" t="s">
        <v>122</v>
      </c>
      <c r="AE372" s="4">
        <v>45985.798388310177</v>
      </c>
      <c r="AF372" s="4">
        <v>45985.798388310177</v>
      </c>
      <c r="AG372" t="s">
        <v>56</v>
      </c>
    </row>
    <row r="373" spans="1:33" x14ac:dyDescent="0.35">
      <c r="A373">
        <v>372</v>
      </c>
      <c r="B373" t="s">
        <v>911</v>
      </c>
      <c r="C373" t="s">
        <v>911</v>
      </c>
      <c r="D373" t="s">
        <v>912</v>
      </c>
      <c r="E373" t="s">
        <v>575</v>
      </c>
      <c r="R373" t="s">
        <v>107</v>
      </c>
      <c r="AE373" s="4">
        <v>45985.798388657407</v>
      </c>
      <c r="AF373" s="4">
        <v>45985.798389664349</v>
      </c>
      <c r="AG373" t="s">
        <v>56</v>
      </c>
    </row>
    <row r="374" spans="1:33" x14ac:dyDescent="0.35">
      <c r="A374">
        <v>373</v>
      </c>
      <c r="B374" t="s">
        <v>913</v>
      </c>
      <c r="C374" t="s">
        <v>913</v>
      </c>
      <c r="D374" t="s">
        <v>914</v>
      </c>
      <c r="R374" t="s">
        <v>107</v>
      </c>
      <c r="AE374" s="4">
        <v>45985.798390069453</v>
      </c>
      <c r="AF374" s="4">
        <v>45985.798390069453</v>
      </c>
      <c r="AG374" t="s">
        <v>56</v>
      </c>
    </row>
    <row r="375" spans="1:33" x14ac:dyDescent="0.35">
      <c r="A375">
        <v>374</v>
      </c>
      <c r="B375" t="s">
        <v>915</v>
      </c>
      <c r="C375" t="s">
        <v>915</v>
      </c>
      <c r="D375" t="s">
        <v>916</v>
      </c>
      <c r="E375" t="s">
        <v>608</v>
      </c>
      <c r="R375" t="s">
        <v>110</v>
      </c>
      <c r="AE375" s="4">
        <v>45985.798387337964</v>
      </c>
      <c r="AF375" s="4">
        <v>45985.798387893519</v>
      </c>
      <c r="AG375" t="s">
        <v>56</v>
      </c>
    </row>
    <row r="376" spans="1:33" x14ac:dyDescent="0.35">
      <c r="A376">
        <v>375</v>
      </c>
      <c r="B376" t="s">
        <v>917</v>
      </c>
      <c r="C376" t="s">
        <v>917</v>
      </c>
      <c r="D376" t="s">
        <v>918</v>
      </c>
      <c r="E376" t="s">
        <v>106</v>
      </c>
      <c r="R376" t="s">
        <v>107</v>
      </c>
      <c r="AE376" s="4">
        <v>45985.798389236108</v>
      </c>
      <c r="AF376" s="4">
        <v>45985.798389699077</v>
      </c>
      <c r="AG376" t="s">
        <v>56</v>
      </c>
    </row>
    <row r="377" spans="1:33" x14ac:dyDescent="0.35">
      <c r="A377">
        <v>376</v>
      </c>
      <c r="B377" t="s">
        <v>919</v>
      </c>
      <c r="C377" t="s">
        <v>919</v>
      </c>
      <c r="D377" t="s">
        <v>920</v>
      </c>
      <c r="E377" t="s">
        <v>106</v>
      </c>
      <c r="R377" t="s">
        <v>107</v>
      </c>
      <c r="AE377" s="4">
        <v>45985.798387777781</v>
      </c>
      <c r="AF377" s="4">
        <v>45985.798389884258</v>
      </c>
      <c r="AG377" t="s">
        <v>56</v>
      </c>
    </row>
    <row r="378" spans="1:33" x14ac:dyDescent="0.35">
      <c r="A378">
        <v>377</v>
      </c>
      <c r="B378" t="s">
        <v>921</v>
      </c>
      <c r="C378" t="s">
        <v>921</v>
      </c>
      <c r="D378" t="s">
        <v>922</v>
      </c>
      <c r="E378" t="s">
        <v>106</v>
      </c>
      <c r="R378" t="s">
        <v>107</v>
      </c>
      <c r="AE378" s="4">
        <v>45985.79838896991</v>
      </c>
      <c r="AF378" s="4">
        <v>45985.798389733798</v>
      </c>
      <c r="AG378" t="s">
        <v>56</v>
      </c>
    </row>
    <row r="379" spans="1:33" x14ac:dyDescent="0.35">
      <c r="A379">
        <v>378</v>
      </c>
      <c r="B379" t="s">
        <v>923</v>
      </c>
      <c r="C379" t="s">
        <v>923</v>
      </c>
      <c r="D379" t="s">
        <v>924</v>
      </c>
      <c r="R379" t="s">
        <v>107</v>
      </c>
      <c r="AE379" s="4">
        <v>45985.798389814823</v>
      </c>
      <c r="AF379" s="4">
        <v>45985.798390069453</v>
      </c>
      <c r="AG379" t="s">
        <v>56</v>
      </c>
    </row>
    <row r="380" spans="1:33" x14ac:dyDescent="0.35">
      <c r="A380">
        <v>379</v>
      </c>
      <c r="B380" t="s">
        <v>925</v>
      </c>
      <c r="C380" t="s">
        <v>925</v>
      </c>
      <c r="D380" t="s">
        <v>926</v>
      </c>
      <c r="E380" t="s">
        <v>106</v>
      </c>
      <c r="R380" t="s">
        <v>107</v>
      </c>
      <c r="AE380" s="4">
        <v>45985.798387696763</v>
      </c>
      <c r="AF380" s="4">
        <v>45985.798389895826</v>
      </c>
      <c r="AG380" t="s">
        <v>56</v>
      </c>
    </row>
    <row r="381" spans="1:33" x14ac:dyDescent="0.35">
      <c r="A381">
        <v>380</v>
      </c>
      <c r="B381" t="s">
        <v>927</v>
      </c>
      <c r="C381" t="s">
        <v>927</v>
      </c>
      <c r="D381" t="s">
        <v>928</v>
      </c>
      <c r="E381" t="s">
        <v>106</v>
      </c>
      <c r="R381" t="s">
        <v>107</v>
      </c>
      <c r="AE381" s="4">
        <v>45985.798389027783</v>
      </c>
      <c r="AF381" s="4">
        <v>45985.798389826392</v>
      </c>
      <c r="AG381" t="s">
        <v>56</v>
      </c>
    </row>
    <row r="382" spans="1:33" x14ac:dyDescent="0.35">
      <c r="A382">
        <v>381</v>
      </c>
      <c r="B382" t="s">
        <v>929</v>
      </c>
      <c r="C382" t="s">
        <v>929</v>
      </c>
      <c r="D382" t="s">
        <v>930</v>
      </c>
      <c r="E382" t="s">
        <v>106</v>
      </c>
      <c r="R382" t="s">
        <v>107</v>
      </c>
      <c r="AE382" s="4">
        <v>45985.798387812501</v>
      </c>
      <c r="AF382" s="4">
        <v>45985.798387812501</v>
      </c>
      <c r="AG382" t="s">
        <v>56</v>
      </c>
    </row>
    <row r="383" spans="1:33" x14ac:dyDescent="0.35">
      <c r="A383">
        <v>382</v>
      </c>
      <c r="B383" t="s">
        <v>931</v>
      </c>
      <c r="C383" t="s">
        <v>931</v>
      </c>
      <c r="D383" t="s">
        <v>932</v>
      </c>
      <c r="E383" t="s">
        <v>106</v>
      </c>
      <c r="R383" t="s">
        <v>107</v>
      </c>
      <c r="AE383" s="4">
        <v>45985.79838724537</v>
      </c>
      <c r="AF383" s="4">
        <v>45985.798388287039</v>
      </c>
      <c r="AG383" t="s">
        <v>56</v>
      </c>
    </row>
    <row r="384" spans="1:33" x14ac:dyDescent="0.35">
      <c r="A384">
        <v>383</v>
      </c>
      <c r="B384" t="s">
        <v>933</v>
      </c>
      <c r="C384" t="s">
        <v>933</v>
      </c>
      <c r="D384" t="s">
        <v>934</v>
      </c>
      <c r="R384" t="s">
        <v>107</v>
      </c>
      <c r="AE384" s="4">
        <v>45985.798389930547</v>
      </c>
      <c r="AF384" s="4">
        <v>45985.798390069453</v>
      </c>
      <c r="AG384" t="s">
        <v>56</v>
      </c>
    </row>
    <row r="385" spans="1:33" x14ac:dyDescent="0.35">
      <c r="A385">
        <v>384</v>
      </c>
      <c r="B385" t="s">
        <v>935</v>
      </c>
      <c r="C385" t="s">
        <v>935</v>
      </c>
      <c r="D385" t="s">
        <v>936</v>
      </c>
      <c r="E385" t="s">
        <v>106</v>
      </c>
      <c r="R385" t="s">
        <v>107</v>
      </c>
      <c r="AE385" s="4">
        <v>45985.79838724537</v>
      </c>
      <c r="AF385" s="4">
        <v>45985.798390069453</v>
      </c>
      <c r="AG385" t="s">
        <v>56</v>
      </c>
    </row>
    <row r="386" spans="1:33" x14ac:dyDescent="0.35">
      <c r="A386">
        <v>385</v>
      </c>
      <c r="B386" t="s">
        <v>937</v>
      </c>
      <c r="C386" t="s">
        <v>937</v>
      </c>
      <c r="D386" t="s">
        <v>938</v>
      </c>
      <c r="E386" t="s">
        <v>106</v>
      </c>
      <c r="R386" t="s">
        <v>107</v>
      </c>
      <c r="AE386" s="4">
        <v>45985.798388726849</v>
      </c>
      <c r="AF386" s="4">
        <v>45985.798390069453</v>
      </c>
      <c r="AG386" t="s">
        <v>56</v>
      </c>
    </row>
    <row r="387" spans="1:33" x14ac:dyDescent="0.35">
      <c r="A387">
        <v>386</v>
      </c>
      <c r="B387" t="s">
        <v>939</v>
      </c>
      <c r="C387" t="s">
        <v>939</v>
      </c>
      <c r="D387" t="s">
        <v>940</v>
      </c>
      <c r="E387" t="s">
        <v>106</v>
      </c>
      <c r="R387" t="s">
        <v>107</v>
      </c>
      <c r="AE387" s="4">
        <v>45985.798388368057</v>
      </c>
      <c r="AF387" s="4">
        <v>45985.798389699077</v>
      </c>
      <c r="AG387" t="s">
        <v>56</v>
      </c>
    </row>
    <row r="388" spans="1:33" x14ac:dyDescent="0.35">
      <c r="A388">
        <v>387</v>
      </c>
      <c r="B388" t="s">
        <v>941</v>
      </c>
      <c r="C388" t="s">
        <v>941</v>
      </c>
      <c r="D388" t="s">
        <v>942</v>
      </c>
      <c r="AE388" s="4">
        <v>45985.798389675932</v>
      </c>
      <c r="AF388" s="4">
        <v>45985.798389675932</v>
      </c>
      <c r="AG388" t="s">
        <v>56</v>
      </c>
    </row>
    <row r="389" spans="1:33" x14ac:dyDescent="0.35">
      <c r="A389">
        <v>388</v>
      </c>
      <c r="B389" t="s">
        <v>943</v>
      </c>
      <c r="C389" t="s">
        <v>943</v>
      </c>
      <c r="D389" t="s">
        <v>944</v>
      </c>
      <c r="E389" t="s">
        <v>106</v>
      </c>
      <c r="R389" t="s">
        <v>107</v>
      </c>
      <c r="AE389" s="4">
        <v>45985.798388958327</v>
      </c>
      <c r="AF389" s="4">
        <v>45985.798389710653</v>
      </c>
      <c r="AG389" t="s">
        <v>56</v>
      </c>
    </row>
    <row r="390" spans="1:33" x14ac:dyDescent="0.35">
      <c r="A390">
        <v>389</v>
      </c>
      <c r="B390" t="s">
        <v>945</v>
      </c>
      <c r="C390" t="s">
        <v>945</v>
      </c>
      <c r="D390" t="s">
        <v>946</v>
      </c>
      <c r="AE390" s="4">
        <v>45985.798389745367</v>
      </c>
      <c r="AF390" s="4">
        <v>45985.798389745367</v>
      </c>
      <c r="AG390" t="s">
        <v>56</v>
      </c>
    </row>
    <row r="391" spans="1:33" x14ac:dyDescent="0.35">
      <c r="A391">
        <v>390</v>
      </c>
      <c r="B391" t="s">
        <v>947</v>
      </c>
      <c r="C391" t="s">
        <v>947</v>
      </c>
      <c r="D391" t="s">
        <v>948</v>
      </c>
      <c r="E391" t="s">
        <v>106</v>
      </c>
      <c r="R391" t="s">
        <v>107</v>
      </c>
      <c r="AE391" s="4">
        <v>45985.798388935182</v>
      </c>
      <c r="AF391" s="4">
        <v>45985.798389814823</v>
      </c>
      <c r="AG391" t="s">
        <v>56</v>
      </c>
    </row>
    <row r="392" spans="1:33" x14ac:dyDescent="0.35">
      <c r="A392">
        <v>391</v>
      </c>
      <c r="B392" t="s">
        <v>949</v>
      </c>
      <c r="C392" t="s">
        <v>949</v>
      </c>
      <c r="D392" t="s">
        <v>950</v>
      </c>
      <c r="E392" t="s">
        <v>106</v>
      </c>
      <c r="R392" t="s">
        <v>107</v>
      </c>
      <c r="AE392" s="4">
        <v>45985.798387557872</v>
      </c>
      <c r="AF392" s="4">
        <v>45985.798389849537</v>
      </c>
      <c r="AG392" t="s">
        <v>56</v>
      </c>
    </row>
    <row r="393" spans="1:33" x14ac:dyDescent="0.35">
      <c r="A393">
        <v>392</v>
      </c>
      <c r="B393" t="s">
        <v>951</v>
      </c>
      <c r="C393" t="s">
        <v>951</v>
      </c>
      <c r="D393" t="s">
        <v>952</v>
      </c>
      <c r="E393" t="s">
        <v>106</v>
      </c>
      <c r="R393" t="s">
        <v>107</v>
      </c>
      <c r="AE393" s="4">
        <v>45985.79838724537</v>
      </c>
      <c r="AF393" s="4">
        <v>45985.798389675932</v>
      </c>
      <c r="AG393" t="s">
        <v>56</v>
      </c>
    </row>
    <row r="394" spans="1:33" x14ac:dyDescent="0.35">
      <c r="A394">
        <v>393</v>
      </c>
      <c r="B394" t="s">
        <v>953</v>
      </c>
      <c r="C394" t="s">
        <v>953</v>
      </c>
      <c r="D394" t="s">
        <v>954</v>
      </c>
      <c r="E394" t="s">
        <v>106</v>
      </c>
      <c r="R394" t="s">
        <v>107</v>
      </c>
      <c r="AE394" s="4">
        <v>45985.798388379633</v>
      </c>
      <c r="AF394" s="4">
        <v>45985.79838980324</v>
      </c>
      <c r="AG394" t="s">
        <v>56</v>
      </c>
    </row>
  </sheetData>
  <dataValidations count="1">
    <dataValidation type="list" allowBlank="1" sqref="AG2:AG10000" xr:uid="{00000000-0002-0000-0200-000000000000}">
      <formula1>"Да,Нет"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9"/>
  <sheetViews>
    <sheetView workbookViewId="0">
      <pane ySplit="1" topLeftCell="A2" activePane="bottomLeft" state="frozen"/>
      <selection pane="bottomLeft" activeCell="B3" sqref="B3"/>
    </sheetView>
  </sheetViews>
  <sheetFormatPr defaultRowHeight="14.5" x14ac:dyDescent="0.35"/>
  <cols>
    <col min="1" max="1" width="9.08984375" style="5" customWidth="1"/>
    <col min="2" max="2" width="28.08984375" customWidth="1"/>
    <col min="3" max="3" width="22.54296875" customWidth="1"/>
    <col min="4" max="4" width="18.26953125" customWidth="1"/>
    <col min="6" max="6" width="26.36328125" customWidth="1"/>
    <col min="7" max="7" width="21.6328125" customWidth="1"/>
    <col min="8" max="8" width="16.7265625" customWidth="1"/>
    <col min="9" max="9" width="14.7265625" customWidth="1"/>
    <col min="10" max="10" width="19.90625" customWidth="1"/>
    <col min="11" max="11" width="13" customWidth="1"/>
    <col min="12" max="12" width="13.7265625" customWidth="1"/>
  </cols>
  <sheetData>
    <row r="1" spans="1:12" x14ac:dyDescent="0.35">
      <c r="A1" s="1" t="s">
        <v>0</v>
      </c>
      <c r="B1" s="1" t="s">
        <v>61</v>
      </c>
      <c r="C1" s="1" t="s">
        <v>955</v>
      </c>
      <c r="D1" s="1" t="s">
        <v>956</v>
      </c>
      <c r="E1" s="1" t="s">
        <v>957</v>
      </c>
      <c r="F1" s="1" t="s">
        <v>958</v>
      </c>
      <c r="G1" s="1" t="s">
        <v>23</v>
      </c>
      <c r="H1" s="1" t="s">
        <v>959</v>
      </c>
      <c r="I1" s="1" t="s">
        <v>24</v>
      </c>
      <c r="J1" s="1" t="s">
        <v>25</v>
      </c>
      <c r="K1" s="1" t="s">
        <v>960</v>
      </c>
      <c r="L1" s="1" t="s">
        <v>961</v>
      </c>
    </row>
    <row r="2" spans="1:12" x14ac:dyDescent="0.35">
      <c r="A2" s="5">
        <v>1</v>
      </c>
      <c r="B2" t="s">
        <v>962</v>
      </c>
      <c r="C2" t="s">
        <v>962</v>
      </c>
      <c r="E2">
        <v>2026</v>
      </c>
    </row>
    <row r="3" spans="1:12" x14ac:dyDescent="0.35">
      <c r="A3" s="5">
        <v>2</v>
      </c>
      <c r="B3" t="s">
        <v>963</v>
      </c>
      <c r="C3" t="s">
        <v>963</v>
      </c>
      <c r="E3">
        <v>2026</v>
      </c>
    </row>
    <row r="4" spans="1:12" x14ac:dyDescent="0.35">
      <c r="A4" s="5">
        <v>3</v>
      </c>
      <c r="B4" t="s">
        <v>964</v>
      </c>
      <c r="C4" t="s">
        <v>964</v>
      </c>
      <c r="E4">
        <v>2026</v>
      </c>
    </row>
    <row r="5" spans="1:12" x14ac:dyDescent="0.35">
      <c r="A5" s="5">
        <v>4</v>
      </c>
      <c r="B5" t="s">
        <v>965</v>
      </c>
      <c r="C5" t="s">
        <v>965</v>
      </c>
      <c r="E5">
        <v>2026</v>
      </c>
    </row>
    <row r="6" spans="1:12" x14ac:dyDescent="0.35">
      <c r="A6" s="5">
        <v>5</v>
      </c>
      <c r="B6" t="s">
        <v>966</v>
      </c>
      <c r="C6" t="s">
        <v>966</v>
      </c>
      <c r="E6">
        <v>2026</v>
      </c>
    </row>
    <row r="7" spans="1:12" x14ac:dyDescent="0.35">
      <c r="A7" s="5">
        <v>6</v>
      </c>
      <c r="B7" t="s">
        <v>967</v>
      </c>
      <c r="C7" t="s">
        <v>967</v>
      </c>
      <c r="E7">
        <v>2026</v>
      </c>
    </row>
    <row r="8" spans="1:12" x14ac:dyDescent="0.35">
      <c r="A8" s="5">
        <v>7</v>
      </c>
      <c r="B8" t="s">
        <v>968</v>
      </c>
      <c r="C8" t="s">
        <v>968</v>
      </c>
      <c r="E8">
        <v>2026</v>
      </c>
    </row>
    <row r="9" spans="1:12" x14ac:dyDescent="0.35">
      <c r="A9" s="5">
        <v>8</v>
      </c>
      <c r="B9" t="s">
        <v>969</v>
      </c>
      <c r="C9" t="s">
        <v>969</v>
      </c>
      <c r="E9">
        <v>2026</v>
      </c>
    </row>
  </sheetData>
  <dataValidations count="2">
    <dataValidation type="list" allowBlank="1" sqref="D2:D10000" xr:uid="{00000000-0002-0000-0300-000000000000}">
      <formula1>"Минпрос,Минтруд,ФАДМ,Регионы"</formula1>
    </dataValidation>
    <dataValidation type="list" allowBlank="1" sqref="L2:L10000" xr:uid="{00000000-0002-0000-0300-000001000000}">
      <formula1>"Да,Нет"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7"/>
  <sheetViews>
    <sheetView workbookViewId="0">
      <pane ySplit="1" topLeftCell="A62" activePane="bottomLeft" state="frozen"/>
      <selection pane="bottomLeft" activeCell="E12" sqref="E12:E14"/>
    </sheetView>
  </sheetViews>
  <sheetFormatPr defaultRowHeight="14.5" x14ac:dyDescent="0.35"/>
  <cols>
    <col min="1" max="1" width="25.90625" customWidth="1"/>
  </cols>
  <sheetData>
    <row r="1" spans="1:11" ht="43.5" customHeight="1" x14ac:dyDescent="0.35">
      <c r="A1" s="1" t="s">
        <v>970</v>
      </c>
      <c r="B1" s="1" t="s">
        <v>971</v>
      </c>
      <c r="C1" s="1" t="s">
        <v>972</v>
      </c>
      <c r="D1" s="1" t="s">
        <v>973</v>
      </c>
      <c r="E1" s="1" t="s">
        <v>974</v>
      </c>
      <c r="F1" s="1" t="s">
        <v>975</v>
      </c>
      <c r="G1" s="1" t="s">
        <v>976</v>
      </c>
      <c r="H1" s="1" t="s">
        <v>977</v>
      </c>
      <c r="I1" s="1" t="s">
        <v>978</v>
      </c>
      <c r="J1" s="1" t="s">
        <v>979</v>
      </c>
      <c r="K1" s="1" t="s">
        <v>980</v>
      </c>
    </row>
    <row r="2" spans="1:11" x14ac:dyDescent="0.35">
      <c r="A2">
        <v>223</v>
      </c>
      <c r="B2" t="s">
        <v>981</v>
      </c>
    </row>
    <row r="3" spans="1:11" x14ac:dyDescent="0.35">
      <c r="A3">
        <v>222333</v>
      </c>
      <c r="B3" t="s">
        <v>982</v>
      </c>
    </row>
    <row r="4" spans="1:11" x14ac:dyDescent="0.35">
      <c r="A4">
        <v>3333</v>
      </c>
      <c r="B4" t="s">
        <v>983</v>
      </c>
    </row>
    <row r="5" spans="1:11" x14ac:dyDescent="0.35">
      <c r="A5">
        <v>333</v>
      </c>
      <c r="B5" t="s">
        <v>984</v>
      </c>
    </row>
    <row r="6" spans="1:11" x14ac:dyDescent="0.35">
      <c r="A6">
        <v>222</v>
      </c>
      <c r="B6" t="s">
        <v>985</v>
      </c>
    </row>
    <row r="7" spans="1:11" x14ac:dyDescent="0.35">
      <c r="A7">
        <v>3333</v>
      </c>
      <c r="B7" t="s">
        <v>981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16"/>
  <sheetViews>
    <sheetView workbookViewId="0">
      <pane ySplit="1" topLeftCell="A2" activePane="bottomLeft" state="frozen"/>
      <selection pane="bottomLeft" activeCell="B2" sqref="B2"/>
    </sheetView>
  </sheetViews>
  <sheetFormatPr defaultRowHeight="14.5" x14ac:dyDescent="0.35"/>
  <cols>
    <col min="1" max="1" width="52" customWidth="1"/>
    <col min="2" max="2" width="51.81640625" customWidth="1"/>
    <col min="3" max="3" width="67" customWidth="1"/>
    <col min="4" max="4" width="33.08984375" customWidth="1"/>
  </cols>
  <sheetData>
    <row r="1" spans="1:11" ht="43.5" customHeight="1" x14ac:dyDescent="0.35">
      <c r="A1" s="1" t="s">
        <v>970</v>
      </c>
      <c r="B1" s="1" t="s">
        <v>971</v>
      </c>
      <c r="C1" s="1" t="s">
        <v>972</v>
      </c>
      <c r="D1" s="1" t="s">
        <v>973</v>
      </c>
      <c r="E1" s="1" t="s">
        <v>974</v>
      </c>
      <c r="F1" s="1" t="s">
        <v>975</v>
      </c>
      <c r="G1" s="1" t="s">
        <v>976</v>
      </c>
      <c r="H1" s="1" t="s">
        <v>977</v>
      </c>
      <c r="I1" s="1" t="s">
        <v>978</v>
      </c>
      <c r="J1" s="1" t="s">
        <v>979</v>
      </c>
      <c r="K1" s="1" t="s">
        <v>980</v>
      </c>
    </row>
    <row r="2" spans="1:11" x14ac:dyDescent="0.35">
      <c r="A2">
        <v>1111111</v>
      </c>
      <c r="B2" t="s">
        <v>986</v>
      </c>
      <c r="C2" t="s">
        <v>987</v>
      </c>
      <c r="D2" t="s">
        <v>988</v>
      </c>
      <c r="E2" t="s">
        <v>989</v>
      </c>
      <c r="F2" t="s">
        <v>990</v>
      </c>
      <c r="G2" t="s">
        <v>991</v>
      </c>
      <c r="H2" t="s">
        <v>992</v>
      </c>
      <c r="I2" t="s">
        <v>993</v>
      </c>
    </row>
    <row r="3" spans="1:11" x14ac:dyDescent="0.35">
      <c r="A3" t="s">
        <v>994</v>
      </c>
      <c r="B3" t="s">
        <v>995</v>
      </c>
      <c r="C3" t="s">
        <v>996</v>
      </c>
      <c r="D3" t="s">
        <v>997</v>
      </c>
      <c r="E3" t="s">
        <v>998</v>
      </c>
      <c r="F3" t="s">
        <v>999</v>
      </c>
    </row>
    <row r="4" spans="1:11" x14ac:dyDescent="0.35">
      <c r="A4" t="s">
        <v>994</v>
      </c>
      <c r="B4" t="s">
        <v>1000</v>
      </c>
      <c r="C4" t="s">
        <v>1001</v>
      </c>
      <c r="D4" t="s">
        <v>1002</v>
      </c>
      <c r="E4" t="s">
        <v>1003</v>
      </c>
      <c r="F4" t="s">
        <v>1004</v>
      </c>
    </row>
    <row r="5" spans="1:11" x14ac:dyDescent="0.35">
      <c r="A5" t="s">
        <v>994</v>
      </c>
      <c r="B5" t="s">
        <v>1005</v>
      </c>
      <c r="C5" t="s">
        <v>1006</v>
      </c>
      <c r="D5" t="s">
        <v>1007</v>
      </c>
      <c r="E5" t="s">
        <v>1008</v>
      </c>
    </row>
    <row r="6" spans="1:11" x14ac:dyDescent="0.35">
      <c r="A6" t="s">
        <v>994</v>
      </c>
      <c r="B6" t="s">
        <v>1009</v>
      </c>
      <c r="C6" t="s">
        <v>1010</v>
      </c>
      <c r="D6" t="s">
        <v>1011</v>
      </c>
      <c r="E6" t="s">
        <v>1012</v>
      </c>
    </row>
    <row r="7" spans="1:11" x14ac:dyDescent="0.35">
      <c r="A7" t="s">
        <v>994</v>
      </c>
      <c r="B7" t="s">
        <v>999</v>
      </c>
      <c r="C7" t="s">
        <v>1013</v>
      </c>
      <c r="E7" t="s">
        <v>1014</v>
      </c>
    </row>
    <row r="8" spans="1:11" x14ac:dyDescent="0.35">
      <c r="A8" t="s">
        <v>994</v>
      </c>
      <c r="B8" t="s">
        <v>1004</v>
      </c>
      <c r="C8" t="s">
        <v>1015</v>
      </c>
      <c r="E8" t="s">
        <v>1016</v>
      </c>
    </row>
    <row r="9" spans="1:11" x14ac:dyDescent="0.35">
      <c r="C9" t="s">
        <v>1017</v>
      </c>
      <c r="E9" t="s">
        <v>1018</v>
      </c>
    </row>
    <row r="10" spans="1:11" x14ac:dyDescent="0.35">
      <c r="E10" t="s">
        <v>1019</v>
      </c>
    </row>
    <row r="11" spans="1:11" x14ac:dyDescent="0.35">
      <c r="E11" t="s">
        <v>1020</v>
      </c>
    </row>
    <row r="12" spans="1:11" x14ac:dyDescent="0.35">
      <c r="E12" t="s">
        <v>1021</v>
      </c>
    </row>
    <row r="13" spans="1:11" x14ac:dyDescent="0.35">
      <c r="E13" t="s">
        <v>1022</v>
      </c>
    </row>
    <row r="14" spans="1:11" x14ac:dyDescent="0.35">
      <c r="E14" t="s">
        <v>1023</v>
      </c>
    </row>
    <row r="15" spans="1:11" x14ac:dyDescent="0.35">
      <c r="E15" t="s">
        <v>1024</v>
      </c>
    </row>
    <row r="16" spans="1:11" x14ac:dyDescent="0.35">
      <c r="E16" t="s">
        <v>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0" ht="29" customHeight="1" x14ac:dyDescent="0.35">
      <c r="A1" s="1" t="s">
        <v>0</v>
      </c>
      <c r="B1" s="1" t="s">
        <v>59</v>
      </c>
      <c r="C1" s="1" t="s">
        <v>1025</v>
      </c>
      <c r="D1" s="1" t="s">
        <v>1026</v>
      </c>
      <c r="E1" s="1" t="s">
        <v>1027</v>
      </c>
      <c r="F1" s="1" t="s">
        <v>1028</v>
      </c>
      <c r="G1" s="1" t="s">
        <v>1029</v>
      </c>
      <c r="H1" s="1" t="s">
        <v>1030</v>
      </c>
      <c r="I1" s="1" t="s">
        <v>1031</v>
      </c>
      <c r="J1" s="1" t="s">
        <v>40</v>
      </c>
    </row>
  </sheetData>
  <dataValidations count="1">
    <dataValidation type="list" allowBlank="1" sqref="G2:G10000" xr:uid="{00000000-0002-0000-0600-000000000000}">
      <formula1>"Не сверен,Сверен,Ошибка"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9" ht="43.5" customHeight="1" x14ac:dyDescent="0.35">
      <c r="A1" s="1" t="s">
        <v>0</v>
      </c>
      <c r="B1" s="1" t="s">
        <v>59</v>
      </c>
      <c r="C1" s="1" t="s">
        <v>1032</v>
      </c>
      <c r="D1" s="1" t="s">
        <v>1033</v>
      </c>
      <c r="E1" s="1" t="s">
        <v>1034</v>
      </c>
      <c r="F1" s="1" t="s">
        <v>1035</v>
      </c>
      <c r="G1" s="1" t="s">
        <v>1036</v>
      </c>
      <c r="H1" s="1" t="s">
        <v>1037</v>
      </c>
      <c r="I1" s="1" t="s">
        <v>40</v>
      </c>
    </row>
  </sheetData>
  <dataValidations count="1">
    <dataValidation type="list" allowBlank="1" sqref="C2:C10000" xr:uid="{00000000-0002-0000-0700-000000000000}">
      <formula1>"Протокол,ТЗ,Спецификация,Акт,Счет,Счет-фактура,УПД,Накладная,Платежное поручение,Выписка"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/>
  </sheetViews>
  <sheetFormatPr defaultRowHeight="14.5" x14ac:dyDescent="0.35"/>
  <sheetData>
    <row r="1" spans="1:1" ht="21" customHeight="1" x14ac:dyDescent="0.5">
      <c r="A1" s="2" t="s">
        <v>1038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J1"/>
  <sheetViews>
    <sheetView workbookViewId="0">
      <pane ySplit="1" topLeftCell="A44" activePane="bottomLeft" state="frozen"/>
      <selection pane="bottomLeft"/>
    </sheetView>
  </sheetViews>
  <sheetFormatPr defaultRowHeight="14.5" x14ac:dyDescent="0.35"/>
  <sheetData>
    <row r="1" spans="1:10" ht="58" customHeight="1" x14ac:dyDescent="0.35">
      <c r="A1" s="1" t="s">
        <v>1</v>
      </c>
      <c r="B1" s="1" t="s">
        <v>76</v>
      </c>
      <c r="C1" s="1" t="s">
        <v>8</v>
      </c>
      <c r="D1" s="1" t="s">
        <v>1039</v>
      </c>
      <c r="E1" s="1" t="s">
        <v>1040</v>
      </c>
      <c r="F1" s="1" t="s">
        <v>23</v>
      </c>
      <c r="G1" s="1" t="s">
        <v>24</v>
      </c>
      <c r="H1" s="1" t="s">
        <v>25</v>
      </c>
      <c r="I1" s="1" t="s">
        <v>1041</v>
      </c>
      <c r="J1" s="1" t="s">
        <v>1042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H9"/>
  <sheetViews>
    <sheetView workbookViewId="0">
      <pane ySplit="1" topLeftCell="A2" activePane="bottomLeft" state="frozen"/>
      <selection pane="bottomLeft" activeCell="D2" sqref="D2"/>
    </sheetView>
  </sheetViews>
  <sheetFormatPr defaultRowHeight="14.5" x14ac:dyDescent="0.35"/>
  <cols>
    <col min="2" max="2" width="13.81640625" customWidth="1"/>
    <col min="3" max="3" width="25.81640625" customWidth="1"/>
    <col min="4" max="4" width="21.54296875" customWidth="1"/>
    <col min="5" max="5" width="20.7265625" customWidth="1"/>
    <col min="6" max="6" width="21.81640625" customWidth="1"/>
    <col min="7" max="7" width="24.90625" customWidth="1"/>
    <col min="8" max="8" width="26.54296875" customWidth="1"/>
  </cols>
  <sheetData>
    <row r="1" spans="1:8" ht="29" customHeight="1" x14ac:dyDescent="0.35">
      <c r="A1" s="1" t="s">
        <v>0</v>
      </c>
      <c r="B1" s="1" t="s">
        <v>5</v>
      </c>
      <c r="C1" s="1" t="s">
        <v>1039</v>
      </c>
      <c r="D1" s="1" t="s">
        <v>1043</v>
      </c>
      <c r="E1" s="1" t="s">
        <v>1044</v>
      </c>
      <c r="F1" s="1" t="s">
        <v>1045</v>
      </c>
      <c r="G1" s="1" t="s">
        <v>41</v>
      </c>
      <c r="H1" s="1" t="s">
        <v>42</v>
      </c>
    </row>
    <row r="2" spans="1:8" x14ac:dyDescent="0.35">
      <c r="A2">
        <v>1</v>
      </c>
      <c r="C2" t="s">
        <v>962</v>
      </c>
      <c r="F2">
        <v>0</v>
      </c>
      <c r="G2" s="4">
        <v>45986.578851006947</v>
      </c>
      <c r="H2" s="4">
        <v>46065.699426712963</v>
      </c>
    </row>
    <row r="3" spans="1:8" x14ac:dyDescent="0.35">
      <c r="A3">
        <v>2</v>
      </c>
      <c r="C3" t="s">
        <v>963</v>
      </c>
      <c r="F3">
        <v>0</v>
      </c>
      <c r="G3" s="4">
        <v>45986.578851006947</v>
      </c>
      <c r="H3" s="4">
        <v>46065.699426712963</v>
      </c>
    </row>
    <row r="4" spans="1:8" x14ac:dyDescent="0.35">
      <c r="A4">
        <v>3</v>
      </c>
      <c r="C4" t="s">
        <v>964</v>
      </c>
      <c r="F4">
        <v>0</v>
      </c>
      <c r="G4" s="4">
        <v>45986.578851006947</v>
      </c>
      <c r="H4" s="4">
        <v>46065.699426712963</v>
      </c>
    </row>
    <row r="5" spans="1:8" x14ac:dyDescent="0.35">
      <c r="A5">
        <v>4</v>
      </c>
      <c r="C5" t="s">
        <v>965</v>
      </c>
      <c r="F5">
        <v>0</v>
      </c>
      <c r="G5" s="4">
        <v>45986.578851006947</v>
      </c>
      <c r="H5" s="4">
        <v>46065.699426712963</v>
      </c>
    </row>
    <row r="6" spans="1:8" x14ac:dyDescent="0.35">
      <c r="A6">
        <v>5</v>
      </c>
      <c r="C6" t="s">
        <v>966</v>
      </c>
      <c r="F6">
        <v>0</v>
      </c>
      <c r="G6" s="4">
        <v>45986.578851006947</v>
      </c>
      <c r="H6" s="4">
        <v>46065.699426712963</v>
      </c>
    </row>
    <row r="7" spans="1:8" x14ac:dyDescent="0.35">
      <c r="A7">
        <v>6</v>
      </c>
      <c r="C7" t="s">
        <v>967</v>
      </c>
      <c r="F7">
        <v>0</v>
      </c>
      <c r="G7" s="4">
        <v>45986.578851006947</v>
      </c>
      <c r="H7" s="4">
        <v>46065.699426712963</v>
      </c>
    </row>
    <row r="8" spans="1:8" x14ac:dyDescent="0.35">
      <c r="A8">
        <v>7</v>
      </c>
      <c r="C8" t="s">
        <v>968</v>
      </c>
      <c r="D8" t="s">
        <v>1046</v>
      </c>
      <c r="E8" t="s">
        <v>1047</v>
      </c>
      <c r="F8">
        <v>0</v>
      </c>
      <c r="G8" s="4">
        <v>45986.578851006947</v>
      </c>
      <c r="H8" s="4">
        <v>46065.699426712963</v>
      </c>
    </row>
    <row r="9" spans="1:8" x14ac:dyDescent="0.35">
      <c r="A9">
        <v>8</v>
      </c>
      <c r="C9" t="s">
        <v>969</v>
      </c>
      <c r="D9" t="s">
        <v>1048</v>
      </c>
      <c r="E9" t="s">
        <v>1049</v>
      </c>
      <c r="F9">
        <v>0</v>
      </c>
      <c r="G9" s="4">
        <v>45986.578851006947</v>
      </c>
      <c r="H9" s="4">
        <v>46065.699426712963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11" ht="72.5" customHeight="1" x14ac:dyDescent="0.35">
      <c r="A1" s="1" t="s">
        <v>0</v>
      </c>
      <c r="B1" s="1" t="s">
        <v>1050</v>
      </c>
      <c r="C1" s="1" t="s">
        <v>1051</v>
      </c>
      <c r="D1" s="1" t="s">
        <v>1044</v>
      </c>
      <c r="E1" s="1" t="s">
        <v>1052</v>
      </c>
      <c r="F1" s="1" t="s">
        <v>1053</v>
      </c>
      <c r="G1" s="1" t="s">
        <v>1054</v>
      </c>
      <c r="H1" s="1" t="s">
        <v>1055</v>
      </c>
      <c r="I1" s="1" t="s">
        <v>1056</v>
      </c>
      <c r="J1" s="1" t="s">
        <v>41</v>
      </c>
      <c r="K1" s="1" t="s">
        <v>42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F3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6" ht="58" customHeight="1" x14ac:dyDescent="0.35">
      <c r="A1" s="1" t="s">
        <v>0</v>
      </c>
      <c r="B1" s="1" t="s">
        <v>1035</v>
      </c>
      <c r="C1" s="1" t="s">
        <v>1030</v>
      </c>
      <c r="D1" s="1" t="s">
        <v>1057</v>
      </c>
      <c r="E1" s="1" t="s">
        <v>1058</v>
      </c>
      <c r="F1" s="1" t="s">
        <v>1059</v>
      </c>
    </row>
    <row r="2" spans="1:6" x14ac:dyDescent="0.35">
      <c r="A2">
        <v>1</v>
      </c>
      <c r="B2" s="4">
        <v>46065.682798472233</v>
      </c>
      <c r="C2" t="s">
        <v>1060</v>
      </c>
      <c r="D2" t="s">
        <v>1061</v>
      </c>
      <c r="E2" t="s">
        <v>1062</v>
      </c>
      <c r="F2" t="s">
        <v>1063</v>
      </c>
    </row>
    <row r="3" spans="1:6" x14ac:dyDescent="0.35">
      <c r="A3">
        <v>2</v>
      </c>
      <c r="B3" s="4">
        <v>46065.699426122686</v>
      </c>
      <c r="D3" t="s">
        <v>1064</v>
      </c>
      <c r="E3" t="s">
        <v>1065</v>
      </c>
      <c r="F3" t="s">
        <v>1066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9"/>
  <sheetViews>
    <sheetView topLeftCell="A37" workbookViewId="0">
      <selection activeCell="E5" sqref="E5"/>
    </sheetView>
  </sheetViews>
  <sheetFormatPr defaultRowHeight="14.5" x14ac:dyDescent="0.35"/>
  <cols>
    <col min="3" max="3" width="42.81640625" customWidth="1"/>
  </cols>
  <sheetData>
    <row r="1" spans="1:8" ht="72.5" customHeight="1" x14ac:dyDescent="0.35">
      <c r="A1" s="1" t="s">
        <v>0</v>
      </c>
      <c r="B1" s="1" t="s">
        <v>5</v>
      </c>
      <c r="C1" s="1" t="s">
        <v>1039</v>
      </c>
      <c r="D1" s="1" t="s">
        <v>1043</v>
      </c>
      <c r="E1" s="1" t="s">
        <v>1044</v>
      </c>
      <c r="F1" s="1" t="s">
        <v>1045</v>
      </c>
      <c r="G1" s="1" t="s">
        <v>41</v>
      </c>
      <c r="H1" s="1" t="s">
        <v>42</v>
      </c>
    </row>
    <row r="2" spans="1:8" x14ac:dyDescent="0.35">
      <c r="A2">
        <v>1</v>
      </c>
      <c r="C2" t="s">
        <v>1067</v>
      </c>
      <c r="F2">
        <v>0</v>
      </c>
      <c r="G2" s="4">
        <v>45986.578851006947</v>
      </c>
      <c r="H2" s="4">
        <v>45986.578851006947</v>
      </c>
    </row>
    <row r="3" spans="1:8" x14ac:dyDescent="0.35">
      <c r="A3">
        <v>2</v>
      </c>
      <c r="C3" t="s">
        <v>1068</v>
      </c>
      <c r="F3">
        <v>0</v>
      </c>
      <c r="G3" s="4">
        <v>45986.578851006947</v>
      </c>
      <c r="H3" s="4">
        <v>45986.578851006947</v>
      </c>
    </row>
    <row r="4" spans="1:8" x14ac:dyDescent="0.35">
      <c r="A4">
        <v>3</v>
      </c>
      <c r="C4" t="s">
        <v>1069</v>
      </c>
      <c r="F4">
        <v>0</v>
      </c>
      <c r="G4" s="4">
        <v>45986.578851006947</v>
      </c>
      <c r="H4" s="4">
        <v>45986.578851006947</v>
      </c>
    </row>
    <row r="5" spans="1:8" x14ac:dyDescent="0.35">
      <c r="A5">
        <v>4</v>
      </c>
      <c r="C5" t="s">
        <v>1068</v>
      </c>
      <c r="F5">
        <v>0</v>
      </c>
      <c r="G5" s="4">
        <v>45986.578851006947</v>
      </c>
      <c r="H5" s="4">
        <v>45986.578851006947</v>
      </c>
    </row>
    <row r="6" spans="1:8" x14ac:dyDescent="0.35">
      <c r="A6">
        <v>5</v>
      </c>
      <c r="C6" t="s">
        <v>1069</v>
      </c>
      <c r="F6">
        <v>0</v>
      </c>
      <c r="G6" s="4">
        <v>45986.578851006947</v>
      </c>
      <c r="H6" s="4">
        <v>45986.578851006947</v>
      </c>
    </row>
    <row r="7" spans="1:8" x14ac:dyDescent="0.35">
      <c r="A7">
        <v>6</v>
      </c>
      <c r="C7" t="s">
        <v>1068</v>
      </c>
      <c r="F7">
        <v>0</v>
      </c>
      <c r="G7" s="4">
        <v>45986.578851006947</v>
      </c>
      <c r="H7" s="4">
        <v>45986.578851006947</v>
      </c>
    </row>
    <row r="8" spans="1:8" x14ac:dyDescent="0.35">
      <c r="A8">
        <v>7</v>
      </c>
      <c r="C8" t="s">
        <v>1070</v>
      </c>
      <c r="D8" t="s">
        <v>1046</v>
      </c>
      <c r="E8" t="s">
        <v>1047</v>
      </c>
      <c r="F8">
        <v>300</v>
      </c>
      <c r="G8" s="4">
        <v>45986.578851006947</v>
      </c>
      <c r="H8" s="4">
        <v>45986.578851006947</v>
      </c>
    </row>
    <row r="9" spans="1:8" x14ac:dyDescent="0.35">
      <c r="A9">
        <v>8</v>
      </c>
      <c r="C9" t="s">
        <v>1069</v>
      </c>
      <c r="D9" t="s">
        <v>1048</v>
      </c>
      <c r="E9" t="s">
        <v>1049</v>
      </c>
      <c r="F9">
        <v>1</v>
      </c>
      <c r="G9" s="4">
        <v>45986.578851006947</v>
      </c>
      <c r="H9" s="4">
        <v>45986.578851006947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1"/>
  <sheetViews>
    <sheetView workbookViewId="0"/>
  </sheetViews>
  <sheetFormatPr defaultRowHeight="14.5" x14ac:dyDescent="0.35"/>
  <sheetData>
    <row r="1" spans="1:11" ht="72.5" customHeight="1" x14ac:dyDescent="0.35">
      <c r="A1" s="1" t="s">
        <v>0</v>
      </c>
      <c r="B1" s="1" t="s">
        <v>1050</v>
      </c>
      <c r="C1" s="1" t="s">
        <v>1051</v>
      </c>
      <c r="D1" s="1" t="s">
        <v>1044</v>
      </c>
      <c r="E1" s="1" t="s">
        <v>1052</v>
      </c>
      <c r="F1" s="1" t="s">
        <v>1053</v>
      </c>
      <c r="G1" s="1" t="s">
        <v>1054</v>
      </c>
      <c r="H1" s="1" t="s">
        <v>1055</v>
      </c>
      <c r="I1" s="1" t="s">
        <v>1056</v>
      </c>
      <c r="J1" s="1" t="s">
        <v>41</v>
      </c>
      <c r="K1" s="1" t="s">
        <v>42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9"/>
  <sheetViews>
    <sheetView workbookViewId="0">
      <selection activeCell="C3" sqref="C3"/>
    </sheetView>
  </sheetViews>
  <sheetFormatPr defaultRowHeight="14.5" x14ac:dyDescent="0.35"/>
  <cols>
    <col min="3" max="3" width="56.54296875" customWidth="1"/>
  </cols>
  <sheetData>
    <row r="1" spans="1:8" ht="72.5" customHeight="1" x14ac:dyDescent="0.35">
      <c r="A1" s="1" t="s">
        <v>0</v>
      </c>
      <c r="B1" s="1" t="s">
        <v>5</v>
      </c>
      <c r="C1" s="1" t="s">
        <v>1039</v>
      </c>
      <c r="D1" s="1" t="s">
        <v>1043</v>
      </c>
      <c r="E1" s="1" t="s">
        <v>1044</v>
      </c>
      <c r="F1" s="1" t="s">
        <v>1045</v>
      </c>
      <c r="G1" s="1" t="s">
        <v>41</v>
      </c>
      <c r="H1" s="1" t="s">
        <v>42</v>
      </c>
    </row>
    <row r="2" spans="1:8" x14ac:dyDescent="0.35">
      <c r="A2">
        <v>1</v>
      </c>
      <c r="C2" t="s">
        <v>1067</v>
      </c>
      <c r="F2">
        <v>0</v>
      </c>
      <c r="G2" s="4">
        <v>45986.578851006947</v>
      </c>
      <c r="H2" s="4">
        <v>45986.578851006947</v>
      </c>
    </row>
    <row r="3" spans="1:8" x14ac:dyDescent="0.35">
      <c r="A3">
        <v>2</v>
      </c>
      <c r="C3" t="s">
        <v>1068</v>
      </c>
      <c r="F3">
        <v>0</v>
      </c>
      <c r="G3" s="4">
        <v>45986.578851006947</v>
      </c>
      <c r="H3" s="4">
        <v>45986.578851006947</v>
      </c>
    </row>
    <row r="4" spans="1:8" x14ac:dyDescent="0.35">
      <c r="A4">
        <v>3</v>
      </c>
      <c r="C4" t="s">
        <v>1069</v>
      </c>
      <c r="F4">
        <v>0</v>
      </c>
      <c r="G4" s="4">
        <v>45986.578851006947</v>
      </c>
      <c r="H4" s="4">
        <v>45986.578851006947</v>
      </c>
    </row>
    <row r="5" spans="1:8" x14ac:dyDescent="0.35">
      <c r="A5">
        <v>4</v>
      </c>
      <c r="C5" t="s">
        <v>1068</v>
      </c>
      <c r="F5">
        <v>0</v>
      </c>
      <c r="G5" s="4">
        <v>45986.578851006947</v>
      </c>
      <c r="H5" s="4">
        <v>45986.578851006947</v>
      </c>
    </row>
    <row r="6" spans="1:8" x14ac:dyDescent="0.35">
      <c r="A6">
        <v>5</v>
      </c>
      <c r="C6" t="s">
        <v>1069</v>
      </c>
      <c r="F6">
        <v>0</v>
      </c>
      <c r="G6" s="4">
        <v>45986.578851006947</v>
      </c>
      <c r="H6" s="4">
        <v>45986.578851006947</v>
      </c>
    </row>
    <row r="7" spans="1:8" x14ac:dyDescent="0.35">
      <c r="A7">
        <v>6</v>
      </c>
      <c r="C7" t="s">
        <v>1068</v>
      </c>
      <c r="F7">
        <v>0</v>
      </c>
      <c r="G7" s="4">
        <v>45986.578851006947</v>
      </c>
      <c r="H7" s="4">
        <v>45986.578851006947</v>
      </c>
    </row>
    <row r="8" spans="1:8" x14ac:dyDescent="0.35">
      <c r="A8">
        <v>7</v>
      </c>
      <c r="C8" t="s">
        <v>1070</v>
      </c>
      <c r="D8" t="s">
        <v>1046</v>
      </c>
      <c r="E8" t="s">
        <v>1047</v>
      </c>
      <c r="F8">
        <v>300</v>
      </c>
      <c r="G8" s="4">
        <v>45986.578851006947</v>
      </c>
      <c r="H8" s="4">
        <v>45986.578851006947</v>
      </c>
    </row>
    <row r="9" spans="1:8" x14ac:dyDescent="0.35">
      <c r="A9">
        <v>8</v>
      </c>
      <c r="C9" t="s">
        <v>1069</v>
      </c>
      <c r="D9" t="s">
        <v>1048</v>
      </c>
      <c r="E9" t="s">
        <v>1049</v>
      </c>
      <c r="F9">
        <v>1</v>
      </c>
      <c r="G9" s="4">
        <v>45986.578851006947</v>
      </c>
      <c r="H9" s="4">
        <v>45986.578851006947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K1"/>
  <sheetViews>
    <sheetView workbookViewId="0"/>
  </sheetViews>
  <sheetFormatPr defaultRowHeight="14.5" x14ac:dyDescent="0.35"/>
  <sheetData>
    <row r="1" spans="1:11" ht="72.5" customHeight="1" x14ac:dyDescent="0.35">
      <c r="A1" s="1" t="s">
        <v>0</v>
      </c>
      <c r="B1" s="1" t="s">
        <v>1050</v>
      </c>
      <c r="C1" s="1" t="s">
        <v>1051</v>
      </c>
      <c r="D1" s="1" t="s">
        <v>1044</v>
      </c>
      <c r="E1" s="1" t="s">
        <v>1052</v>
      </c>
      <c r="F1" s="1" t="s">
        <v>1053</v>
      </c>
      <c r="G1" s="1" t="s">
        <v>1054</v>
      </c>
      <c r="H1" s="1" t="s">
        <v>1055</v>
      </c>
      <c r="I1" s="1" t="s">
        <v>1056</v>
      </c>
      <c r="J1" s="1" t="s">
        <v>41</v>
      </c>
      <c r="K1" s="1" t="s">
        <v>42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5" ht="43.5" customHeight="1" x14ac:dyDescent="0.35">
      <c r="A1" s="6" t="s">
        <v>0</v>
      </c>
      <c r="B1" s="6" t="s">
        <v>5</v>
      </c>
      <c r="C1" s="6" t="s">
        <v>1039</v>
      </c>
      <c r="D1" s="6" t="s">
        <v>1071</v>
      </c>
      <c r="E1" s="6" t="s">
        <v>1072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5" ht="58" customHeight="1" x14ac:dyDescent="0.35">
      <c r="A1" s="6" t="s">
        <v>0</v>
      </c>
      <c r="B1" s="6" t="s">
        <v>1071</v>
      </c>
      <c r="C1" s="6" t="s">
        <v>1072</v>
      </c>
      <c r="D1" s="6" t="s">
        <v>1073</v>
      </c>
      <c r="E1" s="6" t="s">
        <v>1074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5" x14ac:dyDescent="0.35"/>
  <sheetData>
    <row r="1" spans="1:5" ht="58" customHeight="1" x14ac:dyDescent="0.35">
      <c r="A1" s="6" t="s">
        <v>0</v>
      </c>
      <c r="B1" s="6" t="s">
        <v>1073</v>
      </c>
      <c r="C1" s="6" t="s">
        <v>1074</v>
      </c>
      <c r="D1" s="6" t="s">
        <v>1075</v>
      </c>
      <c r="E1" s="6" t="s">
        <v>1076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F2"/>
  <sheetViews>
    <sheetView tabSelected="1" workbookViewId="0">
      <pane ySplit="1" topLeftCell="A2" activePane="bottomLeft" state="frozen"/>
      <selection pane="bottomLeft" activeCell="E13" sqref="E13:F18"/>
    </sheetView>
  </sheetViews>
  <sheetFormatPr defaultRowHeight="14.5" x14ac:dyDescent="0.35"/>
  <cols>
    <col min="2" max="2" width="20.1796875" customWidth="1"/>
    <col min="3" max="3" width="27.6328125" customWidth="1"/>
    <col min="4" max="4" width="25.08984375" customWidth="1"/>
    <col min="5" max="5" width="31" customWidth="1"/>
  </cols>
  <sheetData>
    <row r="1" spans="1:6" ht="58" customHeight="1" x14ac:dyDescent="0.35">
      <c r="A1" s="6" t="s">
        <v>0</v>
      </c>
      <c r="B1" s="6" t="s">
        <v>1075</v>
      </c>
      <c r="C1" s="6" t="s">
        <v>1076</v>
      </c>
      <c r="D1" s="6" t="s">
        <v>1077</v>
      </c>
      <c r="E1" s="6" t="s">
        <v>1078</v>
      </c>
      <c r="F1" s="6" t="s">
        <v>1079</v>
      </c>
    </row>
    <row r="2" spans="1:6" x14ac:dyDescent="0.35">
      <c r="A2">
        <v>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D8"/>
  <sheetViews>
    <sheetView workbookViewId="0">
      <pane ySplit="1" topLeftCell="A2" activePane="bottomLeft" state="frozen"/>
      <selection pane="bottomLeft" activeCell="D2" sqref="D2:D9"/>
    </sheetView>
  </sheetViews>
  <sheetFormatPr defaultRowHeight="14.5" x14ac:dyDescent="0.35"/>
  <cols>
    <col min="1" max="1" width="10" customWidth="1"/>
    <col min="2" max="2" width="64.90625" customWidth="1"/>
    <col min="3" max="3" width="60" customWidth="1"/>
  </cols>
  <sheetData>
    <row r="1" spans="1:4" x14ac:dyDescent="0.35">
      <c r="A1" s="7" t="s">
        <v>0</v>
      </c>
      <c r="B1" s="7" t="s">
        <v>1080</v>
      </c>
      <c r="C1" s="7" t="s">
        <v>1081</v>
      </c>
    </row>
    <row r="2" spans="1:4" x14ac:dyDescent="0.35">
      <c r="A2">
        <v>1</v>
      </c>
      <c r="B2" s="8" t="s">
        <v>986</v>
      </c>
      <c r="C2" s="8" t="s">
        <v>1069</v>
      </c>
      <c r="D2" s="8"/>
    </row>
    <row r="3" spans="1:4" x14ac:dyDescent="0.35">
      <c r="A3" s="8">
        <v>2</v>
      </c>
      <c r="B3" s="8" t="s">
        <v>995</v>
      </c>
      <c r="C3" s="8" t="s">
        <v>1069</v>
      </c>
      <c r="D3" s="8"/>
    </row>
    <row r="4" spans="1:4" x14ac:dyDescent="0.35">
      <c r="A4" s="8">
        <v>3</v>
      </c>
      <c r="B4" s="8" t="s">
        <v>1000</v>
      </c>
      <c r="C4" s="8" t="s">
        <v>1069</v>
      </c>
      <c r="D4" s="8"/>
    </row>
    <row r="5" spans="1:4" x14ac:dyDescent="0.35">
      <c r="A5" s="8">
        <v>4</v>
      </c>
      <c r="B5" s="8" t="s">
        <v>1005</v>
      </c>
      <c r="C5" s="8" t="s">
        <v>1069</v>
      </c>
      <c r="D5" s="8"/>
    </row>
    <row r="6" spans="1:4" x14ac:dyDescent="0.35">
      <c r="A6" s="8">
        <v>5</v>
      </c>
      <c r="B6" s="8" t="s">
        <v>1009</v>
      </c>
      <c r="C6" s="8" t="s">
        <v>1069</v>
      </c>
      <c r="D6" s="8"/>
    </row>
    <row r="7" spans="1:4" x14ac:dyDescent="0.35">
      <c r="A7" s="8">
        <v>6</v>
      </c>
      <c r="B7" s="8" t="s">
        <v>999</v>
      </c>
      <c r="C7" s="8" t="s">
        <v>1069</v>
      </c>
      <c r="D7" s="8"/>
    </row>
    <row r="8" spans="1:4" x14ac:dyDescent="0.35">
      <c r="A8" s="8">
        <v>7</v>
      </c>
      <c r="B8" s="8" t="s">
        <v>1004</v>
      </c>
      <c r="C8" s="8" t="s">
        <v>1069</v>
      </c>
      <c r="D8" s="8"/>
    </row>
  </sheetData>
  <dataValidations count="1">
    <dataValidation type="list" allowBlank="1" sqref="B9:B10000 B2:D8" xr:uid="{00000000-0002-0000-1500-000000000000}">
      <formula1>"ФАДМ,Минпросвет,ЗО,ХО,ДНР,ЛНР,Минтруд,КОС"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0" customWidth="1"/>
    <col min="3" max="3" width="60" customWidth="1"/>
    <col min="4" max="5" width="25" customWidth="1"/>
  </cols>
  <sheetData>
    <row r="1" spans="1:5" x14ac:dyDescent="0.35">
      <c r="A1" s="7" t="s">
        <v>0</v>
      </c>
      <c r="B1" s="7" t="s">
        <v>1080</v>
      </c>
      <c r="C1" s="7" t="s">
        <v>1074</v>
      </c>
      <c r="D1" s="7" t="s">
        <v>1053</v>
      </c>
      <c r="E1" s="7" t="s">
        <v>1082</v>
      </c>
    </row>
  </sheetData>
  <dataValidations count="1">
    <dataValidation type="list" allowBlank="1" sqref="B2:B10000" xr:uid="{00000000-0002-0000-1600-000000000000}">
      <formula1>"ФАДМ,Минпросвет,ЗО,ХО,ДНР,ЛНР,Минтруд,КОС"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50" customWidth="1"/>
    <col min="3" max="3" width="80" customWidth="1"/>
    <col min="4" max="4" width="15" customWidth="1"/>
    <col min="5" max="5" width="60" customWidth="1"/>
  </cols>
  <sheetData>
    <row r="1" spans="1:5" ht="29" x14ac:dyDescent="0.35">
      <c r="A1" s="7" t="s">
        <v>0</v>
      </c>
      <c r="B1" s="7" t="s">
        <v>1078</v>
      </c>
      <c r="C1" s="7" t="s">
        <v>1079</v>
      </c>
      <c r="D1" s="7" t="s">
        <v>1083</v>
      </c>
      <c r="E1" s="7" t="s">
        <v>1074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E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15" customWidth="1"/>
    <col min="3" max="3" width="60" customWidth="1"/>
    <col min="4" max="4" width="15" customWidth="1"/>
    <col min="5" max="5" width="60" customWidth="1"/>
  </cols>
  <sheetData>
    <row r="1" spans="1:5" ht="29" x14ac:dyDescent="0.35">
      <c r="A1" s="7" t="s">
        <v>0</v>
      </c>
      <c r="B1" s="7" t="s">
        <v>1084</v>
      </c>
      <c r="C1" s="7" t="s">
        <v>1081</v>
      </c>
      <c r="D1" s="7" t="s">
        <v>1073</v>
      </c>
      <c r="E1" s="7" t="s">
        <v>1074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25</vt:i4>
      </vt:variant>
    </vt:vector>
  </HeadingPairs>
  <TitlesOfParts>
    <vt:vector size="25" baseType="lpstr">
      <vt:lpstr>GoodsService</vt:lpstr>
      <vt:lpstr>Состав_договора</vt:lpstr>
      <vt:lpstr>Контрагенты</vt:lpstr>
      <vt:lpstr>Субсидии</vt:lpstr>
      <vt:lpstr>Категории_из_ФЭО</vt:lpstr>
      <vt:lpstr>Категории_из_приложения</vt:lpstr>
      <vt:lpstr>Платежи</vt:lpstr>
      <vt:lpstr>Документы</vt:lpstr>
      <vt:lpstr>Дашборд</vt:lpstr>
      <vt:lpstr>Реестр_договоров</vt:lpstr>
      <vt:lpstr>ФЭО_База</vt:lpstr>
      <vt:lpstr>ФЭО_Приложения</vt:lpstr>
      <vt:lpstr>ФЭО_Версии</vt:lpstr>
      <vt:lpstr>ФЭО_База_v1</vt:lpstr>
      <vt:lpstr>ФЭО_Приложения_v1</vt:lpstr>
      <vt:lpstr>ФЭО_База_v2</vt:lpstr>
      <vt:lpstr>ФЭО_Приложения_v2</vt:lpstr>
      <vt:lpstr>Связи_Субсидия_ФЭО</vt:lpstr>
      <vt:lpstr>Связи_ФЭО_Статьи</vt:lpstr>
      <vt:lpstr>Статьи_Разбивка</vt:lpstr>
      <vt:lpstr>Разбивка_Товары</vt:lpstr>
      <vt:lpstr>Справочник_Направления_ФЭО</vt:lpstr>
      <vt:lpstr>Справочник_Статьи_Затрат</vt:lpstr>
      <vt:lpstr>Справочник_Уникальные_Товары</vt:lpstr>
      <vt:lpstr>Связи_Направление_Статья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Пользователь</cp:lastModifiedBy>
  <dcterms:created xsi:type="dcterms:W3CDTF">2025-11-24T15:23:09Z</dcterms:created>
  <dcterms:modified xsi:type="dcterms:W3CDTF">2026-02-13T13:11:26Z</dcterms:modified>
</cp:coreProperties>
</file>